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1b9cc8d06146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7c74ebaa140b4eb4"/>
    <x:sheet xmlns:r="http://schemas.openxmlformats.org/officeDocument/2006/relationships" name="Collecte" sheetId="2" r:id="Rad4510b15f65495f"/>
    <x:sheet xmlns:r="http://schemas.openxmlformats.org/officeDocument/2006/relationships" name="Extraits" sheetId="3" r:id="R7eca9c275ce94c8b"/>
    <x:sheet xmlns:r="http://schemas.openxmlformats.org/officeDocument/2006/relationships" name="Organisation" sheetId="4" r:id="Ra522baa0f30b41d5"/>
    <x:sheet xmlns:r="http://schemas.openxmlformats.org/officeDocument/2006/relationships" name="Activités" sheetId="5" r:id="R03be354bd7924645"/>
    <x:sheet xmlns:r="http://schemas.openxmlformats.org/officeDocument/2006/relationships" name="Décisions" sheetId="6" r:id="R0426d77fecc3492d"/>
    <x:sheet xmlns:r="http://schemas.openxmlformats.org/officeDocument/2006/relationships" name="Applications" sheetId="7" r:id="R0cb3a5da8576458d"/>
    <x:sheet xmlns:r="http://schemas.openxmlformats.org/officeDocument/2006/relationships" name="IA" sheetId="8" r:id="Rae312722b83f4234"/>
    <x:sheet xmlns:r="http://schemas.openxmlformats.org/officeDocument/2006/relationships" name="Coûts" sheetId="9" r:id="R3005f7d7ef8d4027"/>
    <x:sheet xmlns:r="http://schemas.openxmlformats.org/officeDocument/2006/relationships" name="Valeur" sheetId="10" r:id="Rb2ad9eb54f834b6a"/>
    <x:sheet xmlns:r="http://schemas.openxmlformats.org/officeDocument/2006/relationships" name="Mesures" sheetId="11" r:id="R2b1d40ab5ad74e26"/>
    <x:sheet xmlns:r="http://schemas.openxmlformats.org/officeDocument/2006/relationships" name="Événements" sheetId="12" r:id="R4f6f61a753cc4a33"/>
    <x:sheet xmlns:r="http://schemas.openxmlformats.org/officeDocument/2006/relationships" name="Relations" sheetId="13" r:id="Redb587754ac34ff3"/>
    <x:sheet xmlns:r="http://schemas.openxmlformats.org/officeDocument/2006/relationships" name="Résultats attendus" sheetId="14" r:id="Rbcf78e0450c449b1"/>
    <x:sheet xmlns:r="http://schemas.openxmlformats.org/officeDocument/2006/relationships" name="Synthèse chiffrée" sheetId="15" r:id="Rf0dd86d67bef46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"/>
    <x:numFmt numFmtId="201" formatCode="#,##0.00"/>
    <x:numFmt numFmtId="202" formatCode="0.0%"/>
    <x:numFmt numFmtId="203" formatCode="yyyy-mm-dd hh:mm:ss"/>
    <x:numFmt numFmtId="204" formatCode="#,##0"/>
  </x:numFmts>
  <x:fonts count="7">
    <x:font>
      <x:sz val="11"/>
      <x:name val="Carlito"/>
    </x:font>
    <x:font>
      <x:sz val="11"/>
      <x:color rgb="FF27374A"/>
      <x:name val="Arial"/>
    </x:font>
    <x:font>
      <x:b/>
      <x:sz val="16"/>
      <x:color rgb="FF17304F"/>
      <x:name val="Arial"/>
    </x:font>
    <x:font>
      <x:i/>
      <x:sz val="11"/>
      <x:color rgb="FF82520E"/>
      <x:name val="Arial"/>
    </x:font>
    <x:font>
      <x:b/>
      <x:sz val="11"/>
      <x:color rgb="FFFFFFFF"/>
      <x:name val="Arial"/>
    </x:font>
    <x:font>
      <x:b/>
      <x:sz val="16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04F"/>
      </x:patternFill>
    </x:fill>
    <x:fill>
      <x:patternFill patternType="solid">
        <x:fgColor rgb="FFF2F5FA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2" borderId="0" xfId="0" applyNumberFormat="1" applyFont="1" applyFill="1" applyBorder="1"/>
    <x:xf numFmtId="0" fontId="4" fillId="2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1" fillId="0" borderId="0" xfId="0" applyNumberFormat="1" applyFont="1" applyFill="1" applyBorder="1" applyAlignment="1">
      <x:alignment vertical="top" wrapText="1"/>
    </x:xf>
    <x:xf numFmtId="203" fontId="1" fillId="3" borderId="0" xfId="0" applyNumberFormat="1" applyFont="1" applyFill="1" applyBorder="1" applyAlignment="1">
      <x:alignment vertical="top" wrapText="1"/>
    </x:xf>
    <x:xf numFmtId="204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343a08ec494f1e" /><Relationship Type="http://schemas.openxmlformats.org/officeDocument/2006/relationships/theme" Target="/xl/theme/theme1.xml" Id="Re827887ecc1e47ba" /><Relationship Type="http://schemas.openxmlformats.org/officeDocument/2006/relationships/sharedStrings" Target="/xl/sharedStrings.xml" Id="R066b32082c9b4f81" /><Relationship Type="http://schemas.openxmlformats.org/officeDocument/2006/relationships/worksheet" Target="/xl/worksheets/sheet1.xml" Id="R7c74ebaa140b4eb4" /><Relationship Type="http://schemas.openxmlformats.org/officeDocument/2006/relationships/worksheet" Target="/xl/worksheets/sheet2.xml" Id="Rad4510b15f65495f" /><Relationship Type="http://schemas.openxmlformats.org/officeDocument/2006/relationships/worksheet" Target="/xl/worksheets/sheet3.xml" Id="R7eca9c275ce94c8b" /><Relationship Type="http://schemas.openxmlformats.org/officeDocument/2006/relationships/worksheet" Target="/xl/worksheets/sheet4.xml" Id="Ra522baa0f30b41d5" /><Relationship Type="http://schemas.openxmlformats.org/officeDocument/2006/relationships/worksheet" Target="/xl/worksheets/sheet5.xml" Id="R03be354bd7924645" /><Relationship Type="http://schemas.openxmlformats.org/officeDocument/2006/relationships/worksheet" Target="/xl/worksheets/sheet6.xml" Id="R0426d77fecc3492d" /><Relationship Type="http://schemas.openxmlformats.org/officeDocument/2006/relationships/worksheet" Target="/xl/worksheets/sheet7.xml" Id="R0cb3a5da8576458d" /><Relationship Type="http://schemas.openxmlformats.org/officeDocument/2006/relationships/worksheet" Target="/xl/worksheets/sheet8.xml" Id="Rae312722b83f4234" /><Relationship Type="http://schemas.openxmlformats.org/officeDocument/2006/relationships/worksheet" Target="/xl/worksheets/sheet9.xml" Id="R3005f7d7ef8d4027" /><Relationship Type="http://schemas.openxmlformats.org/officeDocument/2006/relationships/worksheet" Target="/xl/worksheets/sheet10.xml" Id="Rb2ad9eb54f834b6a" /><Relationship Type="http://schemas.openxmlformats.org/officeDocument/2006/relationships/worksheet" Target="/xl/worksheets/sheet11.xml" Id="R2b1d40ab5ad74e26" /><Relationship Type="http://schemas.openxmlformats.org/officeDocument/2006/relationships/worksheet" Target="/xl/worksheets/sheet12.xml" Id="R4f6f61a753cc4a33" /><Relationship Type="http://schemas.openxmlformats.org/officeDocument/2006/relationships/worksheet" Target="/xl/worksheets/sheet13.xml" Id="Redb587754ac34ff3" /><Relationship Type="http://schemas.openxmlformats.org/officeDocument/2006/relationships/worksheet" Target="/xl/worksheets/sheet14.xml" Id="Rbcf78e0450c449b1" /><Relationship Type="http://schemas.openxmlformats.org/officeDocument/2006/relationships/worksheet" Target="/xl/worksheets/sheet15.xml" Id="Rf0dd86d67bef46d9" /></Relationships>
</file>

<file path=xl/tables/table1.xml><?xml version="1.0" encoding="utf-8"?>
<x:table xmlns:x="http://schemas.openxmlformats.org/spreadsheetml/2006/main" id="1" name="TGuide" displayName="TGuide" ref="A5:B23" headerRowCount="1" totalsRowCount="0" totalsRowShown="0">
  <x:autoFilter ref="A5:B23"/>
  <x:tableColumns count="2">
    <x:tableColumn id="1" name="Repère"/>
    <x:tableColumn id="2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Collecte" displayName="TCollecte" ref="A5:L122" headerRowCount="1" totalsRowCount="0" totalsRowShown="0">
  <x:autoFilter ref="A5:L122"/>
  <x:tableColumns count="12">
    <x:tableColumn id="1" name="source_id"/>
    <x:tableColumn id="2" name="Famille"/>
    <x:tableColumn id="3" name="Source"/>
    <x:tableColumn id="4" name="Mode prévu"/>
    <x:tableColumn id="5" name="Fichier du corpus"/>
    <x:tableColumn id="6" name="Nombre de faits"/>
    <x:tableColumn id="7" name="Collecté le"/>
    <x:tableColumn id="8" name="Propriétaire métier"/>
    <x:tableColumn id="9" name="Priorité"/>
    <x:tableColumn id="10" name="État de collecte"/>
    <x:tableColumn id="11" name="Périmètre collecté"/>
    <x:tableColumn id="12" name="Natu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xtraits" displayName="TExtraits" ref="A5:H356" headerRowCount="1" totalsRowCount="0" totalsRowShown="0">
  <x:autoFilter ref="A5:H356"/>
  <x:tableColumns count="8">
    <x:tableColumn id="1" name="extrait_id"/>
    <x:tableColumn id="2" name="source_id"/>
    <x:tableColumn id="3" name="Champ"/>
    <x:tableColumn id="4" name="Valeur synthétique"/>
    <x:tableColumn id="5" name="Type"/>
    <x:tableColumn id="6" name="Unité"/>
    <x:tableColumn id="7" name="Période / état"/>
    <x:tableColumn id="8" name="Natur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Organisation" displayName="TOrganisation" ref="A5:G25" headerRowCount="1" totalsRowCount="0" totalsRowShown="0">
  <x:autoFilter ref="A5:G25"/>
  <x:tableColumns count="7">
    <x:tableColumn id="1" name="team_id"/>
    <x:tableColumn id="2" name="Équipe"/>
    <x:tableColumn id="3" name="persona_id"/>
    <x:tableColumn id="4" name="Persona représentatif"/>
    <x:tableColumn id="5" name="ETP équipe"/>
    <x:tableColumn id="6" name="source_id"/>
    <x:tableColumn id="7" name="Natur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ctivites" displayName="TActivites" ref="A5:O45" headerRowCount="1" totalsRowCount="0" totalsRowShown="0">
  <x:autoFilter ref="A5:O45"/>
  <x:tableColumns count="15">
    <x:tableColumn id="1" name="activity_id"/>
    <x:tableColumn id="2" name="persona_id"/>
    <x:tableColumn id="3" name="team_id"/>
    <x:tableColumn id="4" name="process_id"/>
    <x:tableColumn id="5" name="Activité"/>
    <x:tableColumn id="6" name="decision_id"/>
    <x:tableColumn id="7" name="Décision"/>
    <x:tableColumn id="8" name="Catégorie"/>
    <x:tableColumn id="9" name="Volume mensuel"/>
    <x:tableColumn id="10" name="Minutes / tâche avant"/>
    <x:tableColumn id="11" name="D actuel"/>
    <x:tableColumn id="12" name="D cible proposé"/>
    <x:tableColumn id="13" name="application_id"/>
    <x:tableColumn id="14" name="source_id"/>
    <x:tableColumn id="15" name="Natur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Decisions" displayName="TDecisions" ref="A5:I45" headerRowCount="1" totalsRowCount="0" totalsRowShown="0">
  <x:autoFilter ref="A5:I45"/>
  <x:tableColumns count="9">
    <x:tableColumn id="1" name="decision_id"/>
    <x:tableColumn id="2" name="activity_id"/>
    <x:tableColumn id="3" name="Décision"/>
    <x:tableColumn id="4" name="Responsable"/>
    <x:tableColumn id="5" name="Règle"/>
    <x:tableColumn id="6" name="Seuil"/>
    <x:tableColumn id="7" name="Unité"/>
    <x:tableColumn id="8" name="source_id"/>
    <x:tableColumn id="9" name="Natur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pplications" displayName="TApplications" ref="A5:H29" headerRowCount="1" totalsRowCount="0" totalsRowShown="0">
  <x:autoFilter ref="A5:H29"/>
  <x:tableColumns count="8">
    <x:tableColumn id="1" name="application_id"/>
    <x:tableColumn id="2" name="Application fictive"/>
    <x:tableColumn id="3" name="Domaine"/>
    <x:tableColumn id="4" name="Éditeur"/>
    <x:tableColumn id="5" name="Hébergement déclaré"/>
    <x:tableColumn id="6" name="Statut"/>
    <x:tableColumn id="7" name="source_id"/>
    <x:tableColumn id="8" name="Natur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IA" displayName="TIA" ref="A5:O21" headerRowCount="1" totalsRowCount="0" totalsRowShown="0">
  <x:autoFilter ref="A5:O21"/>
  <x:tableColumns count="15">
    <x:tableColumn id="1" name="ai_id"/>
    <x:tableColumn id="2" name="IA / fonction fictive"/>
    <x:tableColumn id="3" name="activity_id"/>
    <x:tableColumn id="4" name="application_id"/>
    <x:tableColumn id="5" name="Catégorie"/>
    <x:tableColumn id="6" name="État"/>
    <x:tableColumn id="7" name="D observé"/>
    <x:tableColumn id="8" name="D autorisé"/>
    <x:tableColumn id="9" name="D cible proposé"/>
    <x:tableColumn id="10" name="Licences / comptes"/>
    <x:tableColumn id="11" name="Actifs mensuels"/>
    <x:tableColumn id="12" name="Modèle"/>
    <x:tableColumn id="13" name="Preuve usage"/>
    <x:tableColumn id="14" name="source_id"/>
    <x:tableColumn id="15" name="Natur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Couts" displayName="TCouts" ref="A5:I117" headerRowCount="1" totalsRowCount="0" totalsRowShown="0">
  <x:autoFilter ref="A5:I117"/>
  <x:tableColumns count="9">
    <x:tableColumn id="1" name="cost_id"/>
    <x:tableColumn id="2" name="ai_id"/>
    <x:tableColumn id="3" name="Mois"/>
    <x:tableColumn id="4" name="Poste"/>
    <x:tableColumn id="5" name="Devise"/>
    <x:tableColumn id="6" name="Montant EUR"/>
    <x:tableColumn id="7" name="source_id"/>
    <x:tableColumn id="8" name="Règle d’imputation"/>
    <x:tableColumn id="9" name="Natur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Valeur" displayName="TValeur" ref="A5:J21" headerRowCount="1" totalsRowCount="0" totalsRowShown="0">
  <x:autoFilter ref="A5:J21"/>
  <x:tableColumns count="10">
    <x:tableColumn id="1" name="value_id"/>
    <x:tableColumn id="2" name="ai_id"/>
    <x:tableColumn id="3" name="Mois"/>
    <x:tableColumn id="4" name="Heures libérées simulées"/>
    <x:tableColumn id="5" name="Économie budgétaire EUR"/>
    <x:tableColumn id="6" name="Perte évitée estimée EUR"/>
    <x:tableColumn id="7" name="Revenu attribué estimé EUR"/>
    <x:tableColumn id="8" name="Méthode / limite"/>
    <x:tableColumn id="9" name="source_id"/>
    <x:tableColumn id="10" name="Natur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Mesures" displayName="TMesures" ref="A5:H13" headerRowCount="1" totalsRowCount="0" totalsRowShown="0">
  <x:autoFilter ref="A5:H13"/>
  <x:tableColumns count="8">
    <x:tableColumn id="1" name="metric_id"/>
    <x:tableColumn id="2" name="activity_id"/>
    <x:tableColumn id="3" name="Mois"/>
    <x:tableColumn id="4" name="Mesure"/>
    <x:tableColumn id="5" name="Valeur"/>
    <x:tableColumn id="6" name="Unité"/>
    <x:tableColumn id="7" name="source_id"/>
    <x:tableColumn id="8" name="Natur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Evenements" displayName="TEvenements" ref="A5:I293" headerRowCount="1" totalsRowCount="0" totalsRowShown="0">
  <x:autoFilter ref="A5:I293"/>
  <x:tableColumns count="9">
    <x:tableColumn id="1" name="event_id"/>
    <x:tableColumn id="2" name="case_id"/>
    <x:tableColumn id="3" name="Étape"/>
    <x:tableColumn id="4" name="Horodatage UTC"/>
    <x:tableColumn id="5" name="activity_id"/>
    <x:tableColumn id="6" name="Exécutant"/>
    <x:tableColumn id="7" name="Résultat"/>
    <x:tableColumn id="8" name="source_id"/>
    <x:tableColumn id="9" name="Natur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Relations" displayName="TRelations" ref="A5:F351" headerRowCount="1" totalsRowCount="0" totalsRowShown="0">
  <x:autoFilter ref="A5:F351"/>
  <x:tableColumns count="6">
    <x:tableColumn id="1" name="relation_id"/>
    <x:tableColumn id="2" name="Objet source"/>
    <x:tableColumn id="3" name="Relation"/>
    <x:tableColumn id="4" name="Objet cible"/>
    <x:tableColumn id="5" name="Preuve source_id"/>
    <x:tableColumn id="6" name="Natur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Resultatsattendus" displayName="TResultatsattendus" ref="A5:F13" headerRowCount="1" totalsRowCount="0" totalsRowShown="0">
  <x:autoFilter ref="A5:F13"/>
  <x:tableColumns count="6">
    <x:tableColumn id="1" name="Test"/>
    <x:tableColumn id="2" name="Constat attendu"/>
    <x:tableColumn id="3" name="Objets concernés"/>
    <x:tableColumn id="4" name="Résultat de référence"/>
    <x:tableColumn id="5" name="Action suggérée"/>
    <x:tableColumn id="6" name="Sourc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273811a35244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7018ce8253344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ac49ebd54cb4e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3fe84013bfa44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1fc640eb39645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59db9aa391e4d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1405496814844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f00e19b66a74d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e5145cd378a4b0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6af373a4b0548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f09c0e94cec243c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e6899b3c6a1d490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d6d2ea1ebbcb441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997e795e1a274fd5" /></Relationships>
</file>

<file path=xl/worksheets/sheet1.xml><?xml version="1.0" encoding="utf-8"?>
<x:worksheet xmlns:x="http://schemas.openxmlformats.org/spreadsheetml/2006/main">
  <x:sheetPr>
    <x:tabColor rgb="FF17304F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7" hidden="0" customWidth="1"/>
    <x:col min="2" max="2" width="130" hidden="0" customWidth="1"/>
  </x:cols>
  <x:sheetData>
    <x:row r="1">
      <x:c r="A1" s="2"/>
      <x:c r="B1" s="2"/>
    </x:row>
    <x:row r="2">
      <x:c r="A2" s="3" t="str">
        <x:v>Jeu de collecte complet — démonstration</x:v>
      </x:c>
      <x:c r="B2" s="2"/>
    </x:row>
    <x:row r="3">
      <x:c r="A3" s="4" t="str">
        <x:v>DONNÉES SYNTHÉTIQUES — Assureur Démo France — août 2026 / état au 20 septembre 2026</x:v>
      </x:c>
      <x:c r="B3" s="2"/>
    </x:row>
    <x:row r="4">
      <x:c r="A4" s="2"/>
      <x:c r="B4" s="2"/>
    </x:row>
    <x:row r="5" ht="42" customHeight="1">
      <x:c r="A5" s="8" t="str">
        <x:v>Repère</x:v>
      </x:c>
      <x:c r="B5" s="8" t="str">
        <x:v>Description</x:v>
      </x:c>
    </x:row>
    <x:row r="6" ht="28" customHeight="1">
      <x:c r="A6" s="10" t="str">
        <x:v>Jeu</x:v>
      </x:c>
      <x:c r="B6" s="10" t="str">
        <x:v>Assureur Démo France. Tous les noms, montants, dossiers et observations sont fictifs. Aucune donnée AXA.</x:v>
      </x:c>
    </x:row>
    <x:row r="7" ht="38" customHeight="1">
      <x:c r="A7" s="11" t="str">
        <x:v>Périmètre</x:v>
      </x:c>
      <x:c r="B7" s="11" t="str">
        <x:v>Collecte simulée complète des 117 types de sources du référentiel. Chaque source possède un fichier CSV normalisé avec trois faits spécifiques.</x:v>
      </x:c>
    </x:row>
    <x:row r="8" ht="38" customHeight="1">
      <x:c r="A8" s="10" t="str">
        <x:v>Profondeur</x:v>
      </x:c>
      <x:c r="B8" s="10" t="str">
        <x:v>Couverture complète du référentiel, profondeur réduite pour une démonstration. Ce n’est pas une copie d’un SI complet ni une volumétrie de production.</x:v>
      </x:c>
    </x:row>
    <x:row r="9" ht="28" customHeight="1">
      <x:c r="A9" s="11" t="str">
        <x:v>Période</x:v>
      </x:c>
      <x:c r="B9" s="11" t="str">
        <x:v>Mesures et coûts : août 2026. État des référentiels : 20 septembre 2026.</x:v>
      </x:c>
    </x:row>
    <x:row r="10" ht="38" customHeight="1">
      <x:c r="A10" s="10" t="str">
        <x:v>Organisation</x:v>
      </x:c>
      <x:c r="B10" s="10" t="str">
        <x:v>20 équipes, 20 personas représentatifs et 1200 ETP dans le périmètre fictif. Les personas ne décrivent pas tous les postes.</x:v>
      </x:c>
    </x:row>
    <x:row r="11" ht="38" customHeight="1">
      <x:c r="A11" s="11" t="str">
        <x:v>Lecture</x:v>
      </x:c>
      <x:c r="B11" s="11" t="str">
        <x:v>Collecte recense les fichiers; Extraits contient leurs faits; les tables métier fournissent les jeux structurés complémentaires.</x:v>
      </x:c>
    </x:row>
    <x:row r="12" ht="38" customHeight="1">
      <x:c r="A12" s="10" t="str">
        <x:v>Trace</x:v>
      </x:c>
      <x:c r="B12" s="10" t="str">
        <x:v>Les source_id SRC-001 à SRC-117 sont identiques à ceux du référentiel fourni. Les tables métier citent ces sources et les enrichissent.</x:v>
      </x:c>
    </x:row>
    <x:row r="13" ht="28" customHeight="1">
      <x:c r="A13" s="11" t="str">
        <x:v>Confidentialité</x:v>
      </x:c>
      <x:c r="B13" s="11" t="str">
        <x:v>Les sources santé, enquêtes et appels sont simulées sous forme de métadonnées. Aucun contenu personnel réel.</x:v>
      </x:c>
    </x:row>
    <x:row r="14" ht="38" customHeight="1">
      <x:c r="A14" s="10" t="str">
        <x:v>Chiffres</x:v>
      </x:c>
      <x:c r="B14" s="10" t="str">
        <x:v>Les valeurs dites constatées sont constatées uniquement à l’intérieur du scénario fictif. Toutes les cellules portent le marquage synthétique.</x:v>
      </x:c>
    </x:row>
    <x:row r="15" ht="38" customHeight="1">
      <x:c r="A15" s="11" t="str">
        <x:v>Temps</x:v>
      </x:c>
      <x:c r="B15" s="11" t="str">
        <x:v>Les heures libérées ne sont pas des économies. Ne pas sommer les heures des assistants partageant une activité sans dédoublonnage.</x:v>
      </x:c>
    </x:row>
    <x:row r="16" ht="38" customHeight="1">
      <x:c r="A16" s="10" t="str">
        <x:v>Valeur</x:v>
      </x:c>
      <x:c r="B16" s="10" t="str">
        <x:v>Séparer économies budgétaires simulées, pertes évitées estimées et revenu attribué estimé. Ne pas les additionner en un bénéfice démontré.</x:v>
      </x:c>
    </x:row>
    <x:row r="17" ht="38" customHeight="1">
      <x:c r="A17" s="11" t="str">
        <x:v>Coûts</x:v>
      </x:c>
      <x:c r="B17" s="11" t="str">
        <x:v>Sept postes mensuels imputés par IA; plateforme partagée déjà allouée. Ne pas ajouter à nouveau les factures sources aux coûts ventilés.</x:v>
      </x:c>
    </x:row>
    <x:row r="18" ht="38" customHeight="1">
      <x:c r="A18" s="10" t="str">
        <x:v>Délégation</x:v>
      </x:c>
      <x:c r="B18" s="10" t="str">
        <x:v>Niveaux actuels et autorisés sont des données du scénario. Niveaux cibles proposés sont fournis dans la sortie attendue, pas dans les fichiers de collecte.</x:v>
      </x:c>
    </x:row>
    <x:row r="19" ht="38" customHeight="1">
      <x:c r="A19" s="11" t="str">
        <x:v>Journaux</x:v>
      </x:c>
      <x:c r="B19" s="11" t="str">
        <x:v>60 dossiers synthétiques et leurs événements. Échantillon de test distinct des 3600 dossiers mensuels agrégés. Il ne permet pas d’estimer une fréquence d’incident réelle.</x:v>
      </x:c>
    </x:row>
    <x:row r="20" ht="38" customHeight="1">
      <x:c r="A20" s="10" t="str">
        <x:v>Évaluation</x:v>
      </x:c>
      <x:c r="B20" s="10" t="str">
        <x:v>Le dossier 03_resultats_attendus contient les cas à détecter et une projection illustrative. Ne pas les donner à Scout pendant un test à l’aveugle.</x:v>
      </x:c>
    </x:row>
    <x:row r="21" ht="38" customHeight="1">
      <x:c r="A21" s="11" t="str">
        <x:v>Import Atlas</x:v>
      </x:c>
      <x:c r="B21" s="11" t="str">
        <x:v>La projection JSON est un schéma de démonstration documenté, à adapter au contrat réel d’Atlas. Aucun import Atlas n’a été exécuté.</x:v>
      </x:c>
    </x:row>
    <x:row r="22" ht="38" customHeight="1">
      <x:c r="A22" s="10" t="str">
        <x:v>Référentiel</x:v>
      </x:c>
      <x:c r="B22" s="10" t="str">
        <x:v>Source : Flow_Scout_Inventaire_Assurance.xlsx fourni dans cette conversation, 117 lignes. Les valeurs du scénario ont été créées pour cette démonstration.</x:v>
      </x:c>
    </x:row>
    <x:row r="23" ht="38" customHeight="1">
      <x:c r="A23" s="11" t="str">
        <x:v>Réutilisation</x:v>
      </x:c>
      <x:c r="B23" s="11" t="str">
        <x:v>L’archive est un instantané cohérent avec ce classeur. Une modification Excel ne met pas à jour automatiquement les CSV et le JSON.</x:v>
      </x:c>
    </x:row>
  </x:sheetData>
  <x:pageMargins left="0.7" right="0.7" top="0.75" bottom="0.75" header="0.3" footer="0.3"/>
  <x:tableParts count="1">
    <x:tablePart xmlns:r="http://schemas.openxmlformats.org/officeDocument/2006/relationships" r:id="R25273811a352445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30" hidden="0" customWidth="1"/>
    <x:col min="3" max="3" width="42" hidden="0" customWidth="1"/>
    <x:col min="4" max="4" width="26" hidden="0" customWidth="1"/>
    <x:col min="5" max="5" width="51" hidden="0" customWidth="1"/>
    <x:col min="6" max="6" width="17" hidden="0" customWidth="1"/>
    <x:col min="7" max="7" width="19" hidden="0" customWidth="1"/>
    <x:col min="8" max="8" width="35" hidden="0" customWidth="1"/>
    <x:col min="9" max="9" width="13" hidden="0" customWidth="1"/>
    <x:col min="10" max="10" width="34" hidden="0" customWidth="1"/>
    <x:col min="11" max="11" width="59" hidden="0" customWidth="1"/>
    <x:col min="12" max="12" width="2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" t="str">
        <x:v>Collecte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4" t="str">
        <x:v>DONNÉES SYNTHÉTIQUES — Assureur Démo France — août 2026 / état au 20 septembre 2026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2" customHeight="1">
      <x:c r="A5" s="8" t="str">
        <x:v>source_id</x:v>
      </x:c>
      <x:c r="B5" s="8" t="str">
        <x:v>Famille</x:v>
      </x:c>
      <x:c r="C5" s="8" t="str">
        <x:v>Source</x:v>
      </x:c>
      <x:c r="D5" s="8" t="str">
        <x:v>Mode prévu</x:v>
      </x:c>
      <x:c r="E5" s="8" t="str">
        <x:v>Fichier du corpus</x:v>
      </x:c>
      <x:c r="F5" s="8" t="str">
        <x:v>Nombre de faits</x:v>
      </x:c>
      <x:c r="G5" s="8" t="str">
        <x:v>Collecté le</x:v>
      </x:c>
      <x:c r="H5" s="8" t="str">
        <x:v>Propriétaire métier</x:v>
      </x:c>
      <x:c r="I5" s="8" t="str">
        <x:v>Priorité</x:v>
      </x:c>
      <x:c r="J5" s="8" t="str">
        <x:v>État de collecte</x:v>
      </x:c>
      <x:c r="K5" s="8" t="str">
        <x:v>Périmètre collecté</x:v>
      </x:c>
      <x:c r="L5" s="8" t="str">
        <x:v>Nature</x:v>
      </x:c>
    </x:row>
    <x:row r="6" ht="38" customHeight="1">
      <x:c r="A6" s="10" t="str">
        <x:v>SRC-001</x:v>
      </x:c>
      <x:c r="B6" s="10" t="str">
        <x:v>Stratégie et organisation</x:v>
      </x:c>
      <x:c r="C6" s="10" t="str">
        <x:v>Plan stratégique et feuille de route IA</x:v>
      </x:c>
      <x:c r="D6" s="10" t="str">
        <x:v>D — Document ciblé</x:v>
      </x:c>
      <x:c r="E6" s="10" t="str">
        <x:v>01_sources_collectees/SRC-001.csv</x:v>
      </x:c>
      <x:c r="F6" s="10" t="n">
        <x:v>3</x:v>
      </x:c>
      <x:c r="G6" s="12" t="n">
        <x:v>46285</x:v>
      </x:c>
      <x:c r="H6" s="10" t="str">
        <x:v>Direction générale / transformation</x:v>
      </x:c>
      <x:c r="I6" s="10" t="str">
        <x:v>P0</x:v>
      </x:c>
      <x:c r="J6" s="10" t="str">
        <x:v>Collecté dans la simulation</x:v>
      </x:c>
      <x:c r="K6" s="10" t="str">
        <x:v>Contenu normalisé ou métadonnées selon le mode prévu</x:v>
      </x:c>
      <x:c r="L6" s="10" t="str">
        <x:v>SYNTHETIQUE</x:v>
      </x:c>
    </x:row>
    <x:row r="7" ht="38" customHeight="1">
      <x:c r="A7" s="11" t="str">
        <x:v>SRC-002</x:v>
      </x:c>
      <x:c r="B7" s="11" t="str">
        <x:v>Stratégie et organisation</x:v>
      </x:c>
      <x:c r="C7" s="11" t="str">
        <x:v>Organigrammes fonctionnels</x:v>
      </x:c>
      <x:c r="D7" s="11" t="str">
        <x:v>M — Métadonnées</x:v>
      </x:c>
      <x:c r="E7" s="11" t="str">
        <x:v>01_sources_collectees/SRC-002.csv</x:v>
      </x:c>
      <x:c r="F7" s="11" t="n">
        <x:v>3</x:v>
      </x:c>
      <x:c r="G7" s="13" t="n">
        <x:v>46285</x:v>
      </x:c>
      <x:c r="H7" s="11" t="str">
        <x:v>Direction générale / transformation</x:v>
      </x:c>
      <x:c r="I7" s="11" t="str">
        <x:v>P0</x:v>
      </x:c>
      <x:c r="J7" s="11" t="str">
        <x:v>Collecté dans la simulation</x:v>
      </x:c>
      <x:c r="K7" s="11" t="str">
        <x:v>Contenu normalisé ou métadonnées selon le mode prévu</x:v>
      </x:c>
      <x:c r="L7" s="11" t="str">
        <x:v>SYNTHETIQUE</x:v>
      </x:c>
    </x:row>
    <x:row r="8" ht="38" customHeight="1">
      <x:c r="A8" s="10" t="str">
        <x:v>SRC-003</x:v>
      </x:c>
      <x:c r="B8" s="10" t="str">
        <x:v>Stratégie et organisation</x:v>
      </x:c>
      <x:c r="C8" s="10" t="str">
        <x:v>Fiches de poste et référentiel métiers</x:v>
      </x:c>
      <x:c r="D8" s="10" t="str">
        <x:v>D — Document ciblé</x:v>
      </x:c>
      <x:c r="E8" s="10" t="str">
        <x:v>01_sources_collectees/SRC-003.csv</x:v>
      </x:c>
      <x:c r="F8" s="10" t="n">
        <x:v>3</x:v>
      </x:c>
      <x:c r="G8" s="12" t="n">
        <x:v>46285</x:v>
      </x:c>
      <x:c r="H8" s="10" t="str">
        <x:v>Direction générale / transformation</x:v>
      </x:c>
      <x:c r="I8" s="10" t="str">
        <x:v>P0</x:v>
      </x:c>
      <x:c r="J8" s="10" t="str">
        <x:v>Collecté dans la simulation</x:v>
      </x:c>
      <x:c r="K8" s="10" t="str">
        <x:v>Contenu normalisé ou métadonnées selon le mode prévu</x:v>
      </x:c>
      <x:c r="L8" s="10" t="str">
        <x:v>SYNTHETIQUE</x:v>
      </x:c>
    </x:row>
    <x:row r="9" ht="38" customHeight="1">
      <x:c r="A9" s="11" t="str">
        <x:v>SRC-004</x:v>
      </x:c>
      <x:c r="B9" s="11" t="str">
        <x:v>Stratégie et organisation</x:v>
      </x:c>
      <x:c r="C9" s="11" t="str">
        <x:v>Cartographie des processus</x:v>
      </x:c>
      <x:c r="D9" s="11" t="str">
        <x:v>D — Document ciblé</x:v>
      </x:c>
      <x:c r="E9" s="11" t="str">
        <x:v>01_sources_collectees/SRC-004.csv</x:v>
      </x:c>
      <x:c r="F9" s="11" t="n">
        <x:v>3</x:v>
      </x:c>
      <x:c r="G9" s="13" t="n">
        <x:v>46285</x:v>
      </x:c>
      <x:c r="H9" s="11" t="str">
        <x:v>Direction générale / transformation</x:v>
      </x:c>
      <x:c r="I9" s="11" t="str">
        <x:v>P0</x:v>
      </x:c>
      <x:c r="J9" s="11" t="str">
        <x:v>Collecté dans la simulation</x:v>
      </x:c>
      <x:c r="K9" s="11" t="str">
        <x:v>Contenu normalisé ou métadonnées selon le mode prévu</x:v>
      </x:c>
      <x:c r="L9" s="11" t="str">
        <x:v>SYNTHETIQUE</x:v>
      </x:c>
    </x:row>
    <x:row r="10" ht="38" customHeight="1">
      <x:c r="A10" s="10" t="str">
        <x:v>SRC-005</x:v>
      </x:c>
      <x:c r="B10" s="10" t="str">
        <x:v>Stratégie et organisation</x:v>
      </x:c>
      <x:c r="C10" s="10" t="str">
        <x:v>Matrices RACI et délégations de pouvoirs</x:v>
      </x:c>
      <x:c r="D10" s="10" t="str">
        <x:v>D — Document ciblé</x:v>
      </x:c>
      <x:c r="E10" s="10" t="str">
        <x:v>01_sources_collectees/SRC-005.csv</x:v>
      </x:c>
      <x:c r="F10" s="10" t="n">
        <x:v>3</x:v>
      </x:c>
      <x:c r="G10" s="12" t="n">
        <x:v>46285</x:v>
      </x:c>
      <x:c r="H10" s="10" t="str">
        <x:v>Direction générale / transformation</x:v>
      </x:c>
      <x:c r="I10" s="10" t="str">
        <x:v>P0</x:v>
      </x:c>
      <x:c r="J10" s="10" t="str">
        <x:v>Collecté dans la simulation</x:v>
      </x:c>
      <x:c r="K10" s="10" t="str">
        <x:v>Contenu normalisé ou métadonnées selon le mode prévu</x:v>
      </x:c>
      <x:c r="L10" s="10" t="str">
        <x:v>SYNTHETIQUE</x:v>
      </x:c>
    </x:row>
    <x:row r="11" ht="38" customHeight="1">
      <x:c r="A11" s="11" t="str">
        <x:v>SRC-006</x:v>
      </x:c>
      <x:c r="B11" s="11" t="str">
        <x:v>Stratégie et organisation</x:v>
      </x:c>
      <x:c r="C11" s="11" t="str">
        <x:v>Portefeuille projets et business cases</x:v>
      </x:c>
      <x:c r="D11" s="11" t="str">
        <x:v>D — Document ciblé</x:v>
      </x:c>
      <x:c r="E11" s="11" t="str">
        <x:v>01_sources_collectees/SRC-006.csv</x:v>
      </x:c>
      <x:c r="F11" s="11" t="n">
        <x:v>3</x:v>
      </x:c>
      <x:c r="G11" s="13" t="n">
        <x:v>46285</x:v>
      </x:c>
      <x:c r="H11" s="11" t="str">
        <x:v>Direction générale / transformation</x:v>
      </x:c>
      <x:c r="I11" s="11" t="str">
        <x:v>P1</x:v>
      </x:c>
      <x:c r="J11" s="11" t="str">
        <x:v>Collecté dans la simulation</x:v>
      </x:c>
      <x:c r="K11" s="11" t="str">
        <x:v>Contenu normalisé ou métadonnées selon le mode prévu</x:v>
      </x:c>
      <x:c r="L11" s="11" t="str">
        <x:v>SYNTHETIQUE</x:v>
      </x:c>
    </x:row>
    <x:row r="12" ht="28" customHeight="1">
      <x:c r="A12" s="10" t="str">
        <x:v>SRC-007</x:v>
      </x:c>
      <x:c r="B12" s="10" t="str">
        <x:v>Produits et garanties</x:v>
      </x:c>
      <x:c r="C12" s="10" t="str">
        <x:v>Catalogue produits et garanties</x:v>
      </x:c>
      <x:c r="D12" s="10" t="str">
        <x:v>M — Métadonnées</x:v>
      </x:c>
      <x:c r="E12" s="10" t="str">
        <x:v>01_sources_collectees/SRC-007.csv</x:v>
      </x:c>
      <x:c r="F12" s="10" t="n">
        <x:v>3</x:v>
      </x:c>
      <x:c r="G12" s="12" t="n">
        <x:v>46285</x:v>
      </x:c>
      <x:c r="H12" s="10" t="str">
        <x:v>Direction technique / produits</x:v>
      </x:c>
      <x:c r="I12" s="10" t="str">
        <x:v>P0</x:v>
      </x:c>
      <x:c r="J12" s="10" t="str">
        <x:v>Collecté dans la simulation</x:v>
      </x:c>
      <x:c r="K12" s="10" t="str">
        <x:v>Contenu normalisé ou métadonnées selon le mode prévu</x:v>
      </x:c>
      <x:c r="L12" s="10" t="str">
        <x:v>SYNTHETIQUE</x:v>
      </x:c>
    </x:row>
    <x:row r="13" ht="38" customHeight="1">
      <x:c r="A13" s="11" t="str">
        <x:v>SRC-008</x:v>
      </x:c>
      <x:c r="B13" s="11" t="str">
        <x:v>Produits et garanties</x:v>
      </x:c>
      <x:c r="C13" s="11" t="str">
        <x:v>Conditions générales et documents d'information</x:v>
      </x:c>
      <x:c r="D13" s="11" t="str">
        <x:v>D — Document ciblé</x:v>
      </x:c>
      <x:c r="E13" s="11" t="str">
        <x:v>01_sources_collectees/SRC-008.csv</x:v>
      </x:c>
      <x:c r="F13" s="11" t="n">
        <x:v>3</x:v>
      </x:c>
      <x:c r="G13" s="13" t="n">
        <x:v>46285</x:v>
      </x:c>
      <x:c r="H13" s="11" t="str">
        <x:v>Direction technique / produits</x:v>
      </x:c>
      <x:c r="I13" s="11" t="str">
        <x:v>P0</x:v>
      </x:c>
      <x:c r="J13" s="11" t="str">
        <x:v>Collecté dans la simulation</x:v>
      </x:c>
      <x:c r="K13" s="11" t="str">
        <x:v>Contenu normalisé ou métadonnées selon le mode prévu</x:v>
      </x:c>
      <x:c r="L13" s="11" t="str">
        <x:v>SYNTHETIQUE</x:v>
      </x:c>
    </x:row>
    <x:row r="14" ht="28" customHeight="1">
      <x:c r="A14" s="10" t="str">
        <x:v>SRC-009</x:v>
      </x:c>
      <x:c r="B14" s="10" t="str">
        <x:v>Produits et garanties</x:v>
      </x:c>
      <x:c r="C14" s="10" t="str">
        <x:v>Modèles de conditions particulières</x:v>
      </x:c>
      <x:c r="D14" s="10" t="str">
        <x:v>D — Document ciblé</x:v>
      </x:c>
      <x:c r="E14" s="10" t="str">
        <x:v>01_sources_collectees/SRC-009.csv</x:v>
      </x:c>
      <x:c r="F14" s="10" t="n">
        <x:v>3</x:v>
      </x:c>
      <x:c r="G14" s="12" t="n">
        <x:v>46285</x:v>
      </x:c>
      <x:c r="H14" s="10" t="str">
        <x:v>Direction technique / produits</x:v>
      </x:c>
      <x:c r="I14" s="10" t="str">
        <x:v>P1</x:v>
      </x:c>
      <x:c r="J14" s="10" t="str">
        <x:v>Collecté dans la simulation</x:v>
      </x:c>
      <x:c r="K14" s="10" t="str">
        <x:v>Contenu normalisé ou métadonnées selon le mode prévu</x:v>
      </x:c>
      <x:c r="L14" s="10" t="str">
        <x:v>SYNTHETIQUE</x:v>
      </x:c>
    </x:row>
    <x:row r="15" ht="28" customHeight="1">
      <x:c r="A15" s="11" t="str">
        <x:v>SRC-010</x:v>
      </x:c>
      <x:c r="B15" s="11" t="str">
        <x:v>Produits et garanties</x:v>
      </x:c>
      <x:c r="C15" s="11" t="str">
        <x:v>Gouvernance et suivi des produits</x:v>
      </x:c>
      <x:c r="D15" s="11" t="str">
        <x:v>D — Document ciblé</x:v>
      </x:c>
      <x:c r="E15" s="11" t="str">
        <x:v>01_sources_collectees/SRC-010.csv</x:v>
      </x:c>
      <x:c r="F15" s="11" t="n">
        <x:v>3</x:v>
      </x:c>
      <x:c r="G15" s="13" t="n">
        <x:v>46285</x:v>
      </x:c>
      <x:c r="H15" s="11" t="str">
        <x:v>Direction technique / produits</x:v>
      </x:c>
      <x:c r="I15" s="11" t="str">
        <x:v>P1</x:v>
      </x:c>
      <x:c r="J15" s="11" t="str">
        <x:v>Collecté dans la simulation</x:v>
      </x:c>
      <x:c r="K15" s="11" t="str">
        <x:v>Contenu normalisé ou métadonnées selon le mode prévu</x:v>
      </x:c>
      <x:c r="L15" s="11" t="str">
        <x:v>SYNTHETIQUE</x:v>
      </x:c>
    </x:row>
    <x:row r="16" ht="28" customHeight="1">
      <x:c r="A16" s="10" t="str">
        <x:v>SRC-011</x:v>
      </x:c>
      <x:c r="B16" s="10" t="str">
        <x:v>Produits et garanties</x:v>
      </x:c>
      <x:c r="C16" s="10" t="str">
        <x:v>Études clients et concurrence</x:v>
      </x:c>
      <x:c r="D16" s="10" t="str">
        <x:v>D — Document ciblé</x:v>
      </x:c>
      <x:c r="E16" s="10" t="str">
        <x:v>01_sources_collectees/SRC-011.csv</x:v>
      </x:c>
      <x:c r="F16" s="10" t="n">
        <x:v>3</x:v>
      </x:c>
      <x:c r="G16" s="12" t="n">
        <x:v>46285</x:v>
      </x:c>
      <x:c r="H16" s="10" t="str">
        <x:v>Direction technique / produits</x:v>
      </x:c>
      <x:c r="I16" s="10" t="str">
        <x:v>P1</x:v>
      </x:c>
      <x:c r="J16" s="10" t="str">
        <x:v>Collecté dans la simulation</x:v>
      </x:c>
      <x:c r="K16" s="10" t="str">
        <x:v>Contenu normalisé ou métadonnées selon le mode prévu</x:v>
      </x:c>
      <x:c r="L16" s="10" t="str">
        <x:v>SYNTHETIQUE</x:v>
      </x:c>
    </x:row>
    <x:row r="17" ht="38" customHeight="1">
      <x:c r="A17" s="11" t="str">
        <x:v>SRC-012</x:v>
      </x:c>
      <x:c r="B17" s="11" t="str">
        <x:v>Produits et garanties</x:v>
      </x:c>
      <x:c r="C17" s="11" t="str">
        <x:v>Backlogs de services et fonctionnalités IA</x:v>
      </x:c>
      <x:c r="D17" s="11" t="str">
        <x:v>M — Métadonnées</x:v>
      </x:c>
      <x:c r="E17" s="11" t="str">
        <x:v>01_sources_collectees/SRC-012.csv</x:v>
      </x:c>
      <x:c r="F17" s="11" t="n">
        <x:v>3</x:v>
      </x:c>
      <x:c r="G17" s="13" t="n">
        <x:v>46285</x:v>
      </x:c>
      <x:c r="H17" s="11" t="str">
        <x:v>Direction technique / produits</x:v>
      </x:c>
      <x:c r="I17" s="11" t="str">
        <x:v>P1</x:v>
      </x:c>
      <x:c r="J17" s="11" t="str">
        <x:v>Collecté dans la simulation</x:v>
      </x:c>
      <x:c r="K17" s="11" t="str">
        <x:v>Contenu normalisé ou métadonnées selon le mode prévu</x:v>
      </x:c>
      <x:c r="L17" s="11" t="str">
        <x:v>SYNTHETIQUE</x:v>
      </x:c>
    </x:row>
    <x:row r="18" ht="28" customHeight="1">
      <x:c r="A18" s="10" t="str">
        <x:v>SRC-013</x:v>
      </x:c>
      <x:c r="B18" s="10" t="str">
        <x:v>Distribution et commercial</x:v>
      </x:c>
      <x:c r="C18" s="10" t="str">
        <x:v>Pipeline CRM agrégé</x:v>
      </x:c>
      <x:c r="D18" s="10" t="str">
        <x:v>A — Agrégats</x:v>
      </x:c>
      <x:c r="E18" s="10" t="str">
        <x:v>01_sources_collectees/SRC-013.csv</x:v>
      </x:c>
      <x:c r="F18" s="10" t="n">
        <x:v>3</x:v>
      </x:c>
      <x:c r="G18" s="12" t="n">
        <x:v>46285</x:v>
      </x:c>
      <x:c r="H18" s="10" t="str">
        <x:v>Direction commerciale / réseaux</x:v>
      </x:c>
      <x:c r="I18" s="10" t="str">
        <x:v>P0</x:v>
      </x:c>
      <x:c r="J18" s="10" t="str">
        <x:v>Collecté dans la simulation</x:v>
      </x:c>
      <x:c r="K18" s="10" t="str">
        <x:v>Contenu normalisé ou métadonnées selon le mode prévu</x:v>
      </x:c>
      <x:c r="L18" s="10" t="str">
        <x:v>SYNTHETIQUE</x:v>
      </x:c>
    </x:row>
    <x:row r="19" ht="28" customHeight="1">
      <x:c r="A19" s="11" t="str">
        <x:v>SRC-014</x:v>
      </x:c>
      <x:c r="B19" s="11" t="str">
        <x:v>Distribution et commercial</x:v>
      </x:c>
      <x:c r="C19" s="11" t="str">
        <x:v>Devis et propositions commerciales</x:v>
      </x:c>
      <x:c r="D19" s="11" t="str">
        <x:v>E — Échantillon</x:v>
      </x:c>
      <x:c r="E19" s="11" t="str">
        <x:v>01_sources_collectees/SRC-014.csv</x:v>
      </x:c>
      <x:c r="F19" s="11" t="n">
        <x:v>3</x:v>
      </x:c>
      <x:c r="G19" s="13" t="n">
        <x:v>46285</x:v>
      </x:c>
      <x:c r="H19" s="11" t="str">
        <x:v>Direction commerciale / réseaux</x:v>
      </x:c>
      <x:c r="I19" s="11" t="str">
        <x:v>P1</x:v>
      </x:c>
      <x:c r="J19" s="11" t="str">
        <x:v>Collecté dans la simulation</x:v>
      </x:c>
      <x:c r="K19" s="11" t="str">
        <x:v>Contenu normalisé ou métadonnées selon le mode prévu</x:v>
      </x:c>
      <x:c r="L19" s="11" t="str">
        <x:v>SYNTHETIQUE</x:v>
      </x:c>
    </x:row>
    <x:row r="20" ht="38" customHeight="1">
      <x:c r="A20" s="10" t="str">
        <x:v>SRC-015</x:v>
      </x:c>
      <x:c r="B20" s="10" t="str">
        <x:v>Distribution et commercial</x:v>
      </x:c>
      <x:c r="C20" s="10" t="str">
        <x:v>Appels d'offres entreprises et collectives</x:v>
      </x:c>
      <x:c r="D20" s="10" t="str">
        <x:v>E — Échantillon</x:v>
      </x:c>
      <x:c r="E20" s="10" t="str">
        <x:v>01_sources_collectees/SRC-015.csv</x:v>
      </x:c>
      <x:c r="F20" s="10" t="n">
        <x:v>3</x:v>
      </x:c>
      <x:c r="G20" s="12" t="n">
        <x:v>46285</x:v>
      </x:c>
      <x:c r="H20" s="10" t="str">
        <x:v>Direction commerciale / réseaux</x:v>
      </x:c>
      <x:c r="I20" s="10" t="str">
        <x:v>P1</x:v>
      </x:c>
      <x:c r="J20" s="10" t="str">
        <x:v>Collecté dans la simulation</x:v>
      </x:c>
      <x:c r="K20" s="10" t="str">
        <x:v>Contenu normalisé ou métadonnées selon le mode prévu</x:v>
      </x:c>
      <x:c r="L20" s="10" t="str">
        <x:v>SYNTHETIQUE</x:v>
      </x:c>
    </x:row>
    <x:row r="21" ht="38" customHeight="1">
      <x:c r="A21" s="11" t="str">
        <x:v>SRC-016</x:v>
      </x:c>
      <x:c r="B21" s="11" t="str">
        <x:v>Distribution et commercial</x:v>
      </x:c>
      <x:c r="C21" s="11" t="str">
        <x:v>Référentiel agents, courtiers et partenaires</x:v>
      </x:c>
      <x:c r="D21" s="11" t="str">
        <x:v>M — Métadonnées</x:v>
      </x:c>
      <x:c r="E21" s="11" t="str">
        <x:v>01_sources_collectees/SRC-016.csv</x:v>
      </x:c>
      <x:c r="F21" s="11" t="n">
        <x:v>3</x:v>
      </x:c>
      <x:c r="G21" s="13" t="n">
        <x:v>46285</x:v>
      </x:c>
      <x:c r="H21" s="11" t="str">
        <x:v>Direction commerciale / réseaux</x:v>
      </x:c>
      <x:c r="I21" s="11" t="str">
        <x:v>P1</x:v>
      </x:c>
      <x:c r="J21" s="11" t="str">
        <x:v>Collecté dans la simulation</x:v>
      </x:c>
      <x:c r="K21" s="11" t="str">
        <x:v>Contenu normalisé ou métadonnées selon le mode prévu</x:v>
      </x:c>
      <x:c r="L21" s="11" t="str">
        <x:v>SYNTHETIQUE</x:v>
      </x:c>
    </x:row>
    <x:row r="22" ht="38" customHeight="1">
      <x:c r="A22" s="10" t="str">
        <x:v>SRC-017</x:v>
      </x:c>
      <x:c r="B22" s="10" t="str">
        <x:v>Distribution et commercial</x:v>
      </x:c>
      <x:c r="C22" s="10" t="str">
        <x:v>Conventions de distribution et commissions</x:v>
      </x:c>
      <x:c r="D22" s="10" t="str">
        <x:v>D — Document ciblé</x:v>
      </x:c>
      <x:c r="E22" s="10" t="str">
        <x:v>01_sources_collectees/SRC-017.csv</x:v>
      </x:c>
      <x:c r="F22" s="10" t="n">
        <x:v>3</x:v>
      </x:c>
      <x:c r="G22" s="12" t="n">
        <x:v>46285</x:v>
      </x:c>
      <x:c r="H22" s="10" t="str">
        <x:v>Direction commerciale / réseaux</x:v>
      </x:c>
      <x:c r="I22" s="10" t="str">
        <x:v>P1</x:v>
      </x:c>
      <x:c r="J22" s="10" t="str">
        <x:v>Collecté dans la simulation</x:v>
      </x:c>
      <x:c r="K22" s="10" t="str">
        <x:v>Contenu normalisé ou métadonnées selon le mode prévu</x:v>
      </x:c>
      <x:c r="L22" s="10" t="str">
        <x:v>SYNTHETIQUE</x:v>
      </x:c>
    </x:row>
    <x:row r="23" ht="28" customHeight="1">
      <x:c r="A23" s="11" t="str">
        <x:v>SRC-018</x:v>
      </x:c>
      <x:c r="B23" s="11" t="str">
        <x:v>Distribution et commercial</x:v>
      </x:c>
      <x:c r="C23" s="11" t="str">
        <x:v>Campagnes et parcours d'acquisition</x:v>
      </x:c>
      <x:c r="D23" s="11" t="str">
        <x:v>A — Agrégats</x:v>
      </x:c>
      <x:c r="E23" s="11" t="str">
        <x:v>01_sources_collectees/SRC-018.csv</x:v>
      </x:c>
      <x:c r="F23" s="11" t="n">
        <x:v>3</x:v>
      </x:c>
      <x:c r="G23" s="13" t="n">
        <x:v>46285</x:v>
      </x:c>
      <x:c r="H23" s="11" t="str">
        <x:v>Direction commerciale / réseaux</x:v>
      </x:c>
      <x:c r="I23" s="11" t="str">
        <x:v>P1</x:v>
      </x:c>
      <x:c r="J23" s="11" t="str">
        <x:v>Collecté dans la simulation</x:v>
      </x:c>
      <x:c r="K23" s="11" t="str">
        <x:v>Contenu normalisé ou métadonnées selon le mode prévu</x:v>
      </x:c>
      <x:c r="L23" s="11" t="str">
        <x:v>SYNTHETIQUE</x:v>
      </x:c>
    </x:row>
    <x:row r="24" ht="38" customHeight="1">
      <x:c r="A24" s="10" t="str">
        <x:v>SRC-019</x:v>
      </x:c>
      <x:c r="B24" s="10" t="str">
        <x:v>Souscription et tarification</x:v>
      </x:c>
      <x:c r="C24" s="10" t="str">
        <x:v>Manuels de souscription</x:v>
      </x:c>
      <x:c r="D24" s="10" t="str">
        <x:v>D — Document ciblé</x:v>
      </x:c>
      <x:c r="E24" s="10" t="str">
        <x:v>01_sources_collectees/SRC-019.csv</x:v>
      </x:c>
      <x:c r="F24" s="10" t="n">
        <x:v>3</x:v>
      </x:c>
      <x:c r="G24" s="12" t="n">
        <x:v>46285</x:v>
      </x:c>
      <x:c r="H24" s="10" t="str">
        <x:v>Souscription / actuariat tarification</x:v>
      </x:c>
      <x:c r="I24" s="10" t="str">
        <x:v>P0</x:v>
      </x:c>
      <x:c r="J24" s="10" t="str">
        <x:v>Collecté dans la simulation</x:v>
      </x:c>
      <x:c r="K24" s="10" t="str">
        <x:v>Contenu normalisé ou métadonnées selon le mode prévu</x:v>
      </x:c>
      <x:c r="L24" s="10" t="str">
        <x:v>SYNTHETIQUE</x:v>
      </x:c>
    </x:row>
    <x:row r="25" ht="38" customHeight="1">
      <x:c r="A25" s="11" t="str">
        <x:v>SRC-020</x:v>
      </x:c>
      <x:c r="B25" s="11" t="str">
        <x:v>Souscription et tarification</x:v>
      </x:c>
      <x:c r="C25" s="11" t="str">
        <x:v>Barèmes et moteurs de règles</x:v>
      </x:c>
      <x:c r="D25" s="11" t="str">
        <x:v>M — Métadonnées</x:v>
      </x:c>
      <x:c r="E25" s="11" t="str">
        <x:v>01_sources_collectees/SRC-020.csv</x:v>
      </x:c>
      <x:c r="F25" s="11" t="n">
        <x:v>3</x:v>
      </x:c>
      <x:c r="G25" s="13" t="n">
        <x:v>46285</x:v>
      </x:c>
      <x:c r="H25" s="11" t="str">
        <x:v>Souscription / actuariat tarification</x:v>
      </x:c>
      <x:c r="I25" s="11" t="str">
        <x:v>P1</x:v>
      </x:c>
      <x:c r="J25" s="11" t="str">
        <x:v>Collecté dans la simulation</x:v>
      </x:c>
      <x:c r="K25" s="11" t="str">
        <x:v>Contenu normalisé ou métadonnées selon le mode prévu</x:v>
      </x:c>
      <x:c r="L25" s="11" t="str">
        <x:v>SYNTHETIQUE</x:v>
      </x:c>
    </x:row>
    <x:row r="26" ht="38" customHeight="1">
      <x:c r="A26" s="10" t="str">
        <x:v>SRC-021</x:v>
      </x:c>
      <x:c r="B26" s="10" t="str">
        <x:v>Souscription et tarification</x:v>
      </x:c>
      <x:c r="C26" s="10" t="str">
        <x:v>Formulaires et questionnaires de risque</x:v>
      </x:c>
      <x:c r="D26" s="10" t="str">
        <x:v>D — Document ciblé</x:v>
      </x:c>
      <x:c r="E26" s="10" t="str">
        <x:v>01_sources_collectees/SRC-021.csv</x:v>
      </x:c>
      <x:c r="F26" s="10" t="n">
        <x:v>3</x:v>
      </x:c>
      <x:c r="G26" s="12" t="n">
        <x:v>46285</x:v>
      </x:c>
      <x:c r="H26" s="10" t="str">
        <x:v>Souscription / actuariat tarification</x:v>
      </x:c>
      <x:c r="I26" s="10" t="str">
        <x:v>P0</x:v>
      </x:c>
      <x:c r="J26" s="10" t="str">
        <x:v>Collecté dans la simulation</x:v>
      </x:c>
      <x:c r="K26" s="10" t="str">
        <x:v>Contenu normalisé ou métadonnées selon le mode prévu</x:v>
      </x:c>
      <x:c r="L26" s="10" t="str">
        <x:v>SYNTHETIQUE</x:v>
      </x:c>
    </x:row>
    <x:row r="27" ht="38" customHeight="1">
      <x:c r="A27" s="11" t="str">
        <x:v>SRC-022</x:v>
      </x:c>
      <x:c r="B27" s="11" t="str">
        <x:v>Souscription et tarification</x:v>
      </x:c>
      <x:c r="C27" s="11" t="str">
        <x:v>Dossiers de souscription représentatifs</x:v>
      </x:c>
      <x:c r="D27" s="11" t="str">
        <x:v>E — Échantillon</x:v>
      </x:c>
      <x:c r="E27" s="11" t="str">
        <x:v>01_sources_collectees/SRC-022.csv</x:v>
      </x:c>
      <x:c r="F27" s="11" t="n">
        <x:v>3</x:v>
      </x:c>
      <x:c r="G27" s="13" t="n">
        <x:v>46285</x:v>
      </x:c>
      <x:c r="H27" s="11" t="str">
        <x:v>Souscription / actuariat tarification</x:v>
      </x:c>
      <x:c r="I27" s="11" t="str">
        <x:v>P1</x:v>
      </x:c>
      <x:c r="J27" s="11" t="str">
        <x:v>Collecté dans la simulation</x:v>
      </x:c>
      <x:c r="K27" s="11" t="str">
        <x:v>Contenu normalisé ou métadonnées selon le mode prévu</x:v>
      </x:c>
      <x:c r="L27" s="11" t="str">
        <x:v>SYNTHETIQUE</x:v>
      </x:c>
    </x:row>
    <x:row r="28" ht="38" customHeight="1">
      <x:c r="A28" s="10" t="str">
        <x:v>SRC-023</x:v>
      </x:c>
      <x:c r="B28" s="10" t="str">
        <x:v>Souscription et tarification</x:v>
      </x:c>
      <x:c r="C28" s="10" t="str">
        <x:v>Journaux de décisions de souscription</x:v>
      </x:c>
      <x:c r="D28" s="10" t="str">
        <x:v>A — Agrégats</x:v>
      </x:c>
      <x:c r="E28" s="10" t="str">
        <x:v>01_sources_collectees/SRC-023.csv</x:v>
      </x:c>
      <x:c r="F28" s="10" t="n">
        <x:v>3</x:v>
      </x:c>
      <x:c r="G28" s="12" t="n">
        <x:v>46285</x:v>
      </x:c>
      <x:c r="H28" s="10" t="str">
        <x:v>Souscription / actuariat tarification</x:v>
      </x:c>
      <x:c r="I28" s="10" t="str">
        <x:v>P1</x:v>
      </x:c>
      <x:c r="J28" s="10" t="str">
        <x:v>Collecté dans la simulation</x:v>
      </x:c>
      <x:c r="K28" s="10" t="str">
        <x:v>Contenu normalisé ou métadonnées selon le mode prévu</x:v>
      </x:c>
      <x:c r="L28" s="10" t="str">
        <x:v>SYNTHETIQUE</x:v>
      </x:c>
    </x:row>
    <x:row r="29" ht="38" customHeight="1">
      <x:c r="A29" s="11" t="str">
        <x:v>SRC-024</x:v>
      </x:c>
      <x:c r="B29" s="11" t="str">
        <x:v>Souscription et tarification</x:v>
      </x:c>
      <x:c r="C29" s="11" t="str">
        <x:v>Rapports d'inspection et prévention</x:v>
      </x:c>
      <x:c r="D29" s="11" t="str">
        <x:v>E — Échantillon</x:v>
      </x:c>
      <x:c r="E29" s="11" t="str">
        <x:v>01_sources_collectees/SRC-024.csv</x:v>
      </x:c>
      <x:c r="F29" s="11" t="n">
        <x:v>3</x:v>
      </x:c>
      <x:c r="G29" s="13" t="n">
        <x:v>46285</x:v>
      </x:c>
      <x:c r="H29" s="11" t="str">
        <x:v>Souscription / actuariat tarification</x:v>
      </x:c>
      <x:c r="I29" s="11" t="str">
        <x:v>P2</x:v>
      </x:c>
      <x:c r="J29" s="11" t="str">
        <x:v>Collecté dans la simulation</x:v>
      </x:c>
      <x:c r="K29" s="11" t="str">
        <x:v>Contenu normalisé ou métadonnées selon le mode prévu</x:v>
      </x:c>
      <x:c r="L29" s="11" t="str">
        <x:v>SYNTHETIQUE</x:v>
      </x:c>
    </x:row>
    <x:row r="30" ht="38" customHeight="1">
      <x:c r="A30" s="10" t="str">
        <x:v>SRC-025</x:v>
      </x:c>
      <x:c r="B30" s="10" t="str">
        <x:v>Gestion des contrats</x:v>
      </x:c>
      <x:c r="C30" s="10" t="str">
        <x:v>Dictionnaire du système de gestion contrats</x:v>
      </x:c>
      <x:c r="D30" s="10" t="str">
        <x:v>M — Métadonnées</x:v>
      </x:c>
      <x:c r="E30" s="10" t="str">
        <x:v>01_sources_collectees/SRC-025.csv</x:v>
      </x:c>
      <x:c r="F30" s="10" t="n">
        <x:v>3</x:v>
      </x:c>
      <x:c r="G30" s="12" t="n">
        <x:v>46285</x:v>
      </x:c>
      <x:c r="H30" s="10" t="str">
        <x:v>Direction opérations contrats</x:v>
      </x:c>
      <x:c r="I30" s="10" t="str">
        <x:v>P0</x:v>
      </x:c>
      <x:c r="J30" s="10" t="str">
        <x:v>Collecté dans la simulation</x:v>
      </x:c>
      <x:c r="K30" s="10" t="str">
        <x:v>Contenu normalisé ou métadonnées selon le mode prévu</x:v>
      </x:c>
      <x:c r="L30" s="10" t="str">
        <x:v>SYNTHETIQUE</x:v>
      </x:c>
    </x:row>
    <x:row r="31" ht="28" customHeight="1">
      <x:c r="A31" s="11" t="str">
        <x:v>SRC-026</x:v>
      </x:c>
      <x:c r="B31" s="11" t="str">
        <x:v>Gestion des contrats</x:v>
      </x:c>
      <x:c r="C31" s="11" t="str">
        <x:v>Procédures de vie du contrat</x:v>
      </x:c>
      <x:c r="D31" s="11" t="str">
        <x:v>D — Document ciblé</x:v>
      </x:c>
      <x:c r="E31" s="11" t="str">
        <x:v>01_sources_collectees/SRC-026.csv</x:v>
      </x:c>
      <x:c r="F31" s="11" t="n">
        <x:v>3</x:v>
      </x:c>
      <x:c r="G31" s="13" t="n">
        <x:v>46285</x:v>
      </x:c>
      <x:c r="H31" s="11" t="str">
        <x:v>Direction opérations contrats</x:v>
      </x:c>
      <x:c r="I31" s="11" t="str">
        <x:v>P0</x:v>
      </x:c>
      <x:c r="J31" s="11" t="str">
        <x:v>Collecté dans la simulation</x:v>
      </x:c>
      <x:c r="K31" s="11" t="str">
        <x:v>Contenu normalisé ou métadonnées selon le mode prévu</x:v>
      </x:c>
      <x:c r="L31" s="11" t="str">
        <x:v>SYNTHETIQUE</x:v>
      </x:c>
    </x:row>
    <x:row r="32" ht="28" customHeight="1">
      <x:c r="A32" s="10" t="str">
        <x:v>SRC-027</x:v>
      </x:c>
      <x:c r="B32" s="10" t="str">
        <x:v>Gestion des contrats</x:v>
      </x:c>
      <x:c r="C32" s="10" t="str">
        <x:v>Journaux d'événements de gestion</x:v>
      </x:c>
      <x:c r="D32" s="10" t="str">
        <x:v>L — Événements</x:v>
      </x:c>
      <x:c r="E32" s="10" t="str">
        <x:v>01_sources_collectees/SRC-027.csv</x:v>
      </x:c>
      <x:c r="F32" s="10" t="n">
        <x:v>3</x:v>
      </x:c>
      <x:c r="G32" s="12" t="n">
        <x:v>46285</x:v>
      </x:c>
      <x:c r="H32" s="10" t="str">
        <x:v>Direction opérations contrats</x:v>
      </x:c>
      <x:c r="I32" s="10" t="str">
        <x:v>P1</x:v>
      </x:c>
      <x:c r="J32" s="10" t="str">
        <x:v>Collecté dans la simulation</x:v>
      </x:c>
      <x:c r="K32" s="10" t="str">
        <x:v>Contenu normalisé ou métadonnées selon le mode prévu</x:v>
      </x:c>
      <x:c r="L32" s="10" t="str">
        <x:v>SYNTHETIQUE</x:v>
      </x:c>
    </x:row>
    <x:row r="33" ht="28" customHeight="1">
      <x:c r="A33" s="11" t="str">
        <x:v>SRC-028</x:v>
      </x:c>
      <x:c r="B33" s="11" t="str">
        <x:v>Gestion des contrats</x:v>
      </x:c>
      <x:c r="C33" s="11" t="str">
        <x:v>Courriers et modèles transactionnels</x:v>
      </x:c>
      <x:c r="D33" s="11" t="str">
        <x:v>D — Document ciblé</x:v>
      </x:c>
      <x:c r="E33" s="11" t="str">
        <x:v>01_sources_collectees/SRC-028.csv</x:v>
      </x:c>
      <x:c r="F33" s="11" t="n">
        <x:v>3</x:v>
      </x:c>
      <x:c r="G33" s="13" t="n">
        <x:v>46285</x:v>
      </x:c>
      <x:c r="H33" s="11" t="str">
        <x:v>Direction opérations contrats</x:v>
      </x:c>
      <x:c r="I33" s="11" t="str">
        <x:v>P1</x:v>
      </x:c>
      <x:c r="J33" s="11" t="str">
        <x:v>Collecté dans la simulation</x:v>
      </x:c>
      <x:c r="K33" s="11" t="str">
        <x:v>Contenu normalisé ou métadonnées selon le mode prévu</x:v>
      </x:c>
      <x:c r="L33" s="11" t="str">
        <x:v>SYNTHETIQUE</x:v>
      </x:c>
    </x:row>
    <x:row r="34" ht="28" customHeight="1">
      <x:c r="A34" s="10" t="str">
        <x:v>SRC-029</x:v>
      </x:c>
      <x:c r="B34" s="10" t="str">
        <x:v>Gestion des contrats</x:v>
      </x:c>
      <x:c r="C34" s="10" t="str">
        <x:v>Primes, encaissements et impayés</x:v>
      </x:c>
      <x:c r="D34" s="10" t="str">
        <x:v>A — Agrégats</x:v>
      </x:c>
      <x:c r="E34" s="10" t="str">
        <x:v>01_sources_collectees/SRC-029.csv</x:v>
      </x:c>
      <x:c r="F34" s="10" t="n">
        <x:v>3</x:v>
      </x:c>
      <x:c r="G34" s="12" t="n">
        <x:v>46285</x:v>
      </x:c>
      <x:c r="H34" s="10" t="str">
        <x:v>Direction opérations contrats</x:v>
      </x:c>
      <x:c r="I34" s="10" t="str">
        <x:v>P1</x:v>
      </x:c>
      <x:c r="J34" s="10" t="str">
        <x:v>Collecté dans la simulation</x:v>
      </x:c>
      <x:c r="K34" s="10" t="str">
        <x:v>Contenu normalisé ou métadonnées selon le mode prévu</x:v>
      </x:c>
      <x:c r="L34" s="10" t="str">
        <x:v>SYNTHETIQUE</x:v>
      </x:c>
    </x:row>
    <x:row r="35" ht="28" customHeight="1">
      <x:c r="A35" s="11" t="str">
        <x:v>SRC-030</x:v>
      </x:c>
      <x:c r="B35" s="11" t="str">
        <x:v>Gestion des contrats</x:v>
      </x:c>
      <x:c r="C35" s="11" t="str">
        <x:v>Signatures et pièces manquantes</x:v>
      </x:c>
      <x:c r="D35" s="11" t="str">
        <x:v>A — Agrégats</x:v>
      </x:c>
      <x:c r="E35" s="11" t="str">
        <x:v>01_sources_collectees/SRC-030.csv</x:v>
      </x:c>
      <x:c r="F35" s="11" t="n">
        <x:v>3</x:v>
      </x:c>
      <x:c r="G35" s="13" t="n">
        <x:v>46285</x:v>
      </x:c>
      <x:c r="H35" s="11" t="str">
        <x:v>Direction opérations contrats</x:v>
      </x:c>
      <x:c r="I35" s="11" t="str">
        <x:v>P1</x:v>
      </x:c>
      <x:c r="J35" s="11" t="str">
        <x:v>Collecté dans la simulation</x:v>
      </x:c>
      <x:c r="K35" s="11" t="str">
        <x:v>Contenu normalisé ou métadonnées selon le mode prévu</x:v>
      </x:c>
      <x:c r="L35" s="11" t="str">
        <x:v>SYNTHETIQUE</x:v>
      </x:c>
    </x:row>
    <x:row r="36" ht="28" customHeight="1">
      <x:c r="A36" s="10" t="str">
        <x:v>SRC-031</x:v>
      </x:c>
      <x:c r="B36" s="10" t="str">
        <x:v>Sinistres et indemnisation</x:v>
      </x:c>
      <x:c r="C36" s="10" t="str">
        <x:v>Procédures de gestion des sinistres</x:v>
      </x:c>
      <x:c r="D36" s="10" t="str">
        <x:v>D — Document ciblé</x:v>
      </x:c>
      <x:c r="E36" s="10" t="str">
        <x:v>01_sources_collectees/SRC-031.csv</x:v>
      </x:c>
      <x:c r="F36" s="10" t="n">
        <x:v>3</x:v>
      </x:c>
      <x:c r="G36" s="12" t="n">
        <x:v>46285</x:v>
      </x:c>
      <x:c r="H36" s="10" t="str">
        <x:v>Direction sinistres</x:v>
      </x:c>
      <x:c r="I36" s="10" t="str">
        <x:v>P0</x:v>
      </x:c>
      <x:c r="J36" s="10" t="str">
        <x:v>Collecté dans la simulation</x:v>
      </x:c>
      <x:c r="K36" s="10" t="str">
        <x:v>Contenu normalisé ou métadonnées selon le mode prévu</x:v>
      </x:c>
      <x:c r="L36" s="10" t="str">
        <x:v>SYNTHETIQUE</x:v>
      </x:c>
    </x:row>
    <x:row r="37" ht="38" customHeight="1">
      <x:c r="A37" s="11" t="str">
        <x:v>SRC-032</x:v>
      </x:c>
      <x:c r="B37" s="11" t="str">
        <x:v>Sinistres et indemnisation</x:v>
      </x:c>
      <x:c r="C37" s="11" t="str">
        <x:v>Formulaires de déclaration et constats</x:v>
      </x:c>
      <x:c r="D37" s="11" t="str">
        <x:v>E — Échantillon</x:v>
      </x:c>
      <x:c r="E37" s="11" t="str">
        <x:v>01_sources_collectees/SRC-032.csv</x:v>
      </x:c>
      <x:c r="F37" s="11" t="n">
        <x:v>3</x:v>
      </x:c>
      <x:c r="G37" s="13" t="n">
        <x:v>46285</x:v>
      </x:c>
      <x:c r="H37" s="11" t="str">
        <x:v>Direction sinistres</x:v>
      </x:c>
      <x:c r="I37" s="11" t="str">
        <x:v>P1</x:v>
      </x:c>
      <x:c r="J37" s="11" t="str">
        <x:v>Collecté dans la simulation</x:v>
      </x:c>
      <x:c r="K37" s="11" t="str">
        <x:v>Contenu normalisé ou métadonnées selon le mode prévu</x:v>
      </x:c>
      <x:c r="L37" s="11" t="str">
        <x:v>SYNTHETIQUE</x:v>
      </x:c>
    </x:row>
    <x:row r="38" ht="28" customHeight="1">
      <x:c r="A38" s="10" t="str">
        <x:v>SRC-033</x:v>
      </x:c>
      <x:c r="B38" s="10" t="str">
        <x:v>Sinistres et indemnisation</x:v>
      </x:c>
      <x:c r="C38" s="10" t="str">
        <x:v>Dossiers de sinistres représentatifs</x:v>
      </x:c>
      <x:c r="D38" s="10" t="str">
        <x:v>E — Échantillon</x:v>
      </x:c>
      <x:c r="E38" s="10" t="str">
        <x:v>01_sources_collectees/SRC-033.csv</x:v>
      </x:c>
      <x:c r="F38" s="10" t="n">
        <x:v>3</x:v>
      </x:c>
      <x:c r="G38" s="12" t="n">
        <x:v>46285</x:v>
      </x:c>
      <x:c r="H38" s="10" t="str">
        <x:v>Direction sinistres</x:v>
      </x:c>
      <x:c r="I38" s="10" t="str">
        <x:v>P1</x:v>
      </x:c>
      <x:c r="J38" s="10" t="str">
        <x:v>Collecté dans la simulation</x:v>
      </x:c>
      <x:c r="K38" s="10" t="str">
        <x:v>Contenu normalisé ou métadonnées selon le mode prévu</x:v>
      </x:c>
      <x:c r="L38" s="10" t="str">
        <x:v>SYNTHETIQUE</x:v>
      </x:c>
    </x:row>
    <x:row r="39" ht="38" customHeight="1">
      <x:c r="A39" s="11" t="str">
        <x:v>SRC-034</x:v>
      </x:c>
      <x:c r="B39" s="11" t="str">
        <x:v>Sinistres et indemnisation</x:v>
      </x:c>
      <x:c r="C39" s="11" t="str">
        <x:v>Photos, vidéos et rapports d'expertise</x:v>
      </x:c>
      <x:c r="D39" s="11" t="str">
        <x:v>M — Métadonnées</x:v>
      </x:c>
      <x:c r="E39" s="11" t="str">
        <x:v>01_sources_collectees/SRC-034.csv</x:v>
      </x:c>
      <x:c r="F39" s="11" t="n">
        <x:v>3</x:v>
      </x:c>
      <x:c r="G39" s="13" t="n">
        <x:v>46285</x:v>
      </x:c>
      <x:c r="H39" s="11" t="str">
        <x:v>Direction sinistres</x:v>
      </x:c>
      <x:c r="I39" s="11" t="str">
        <x:v>P2</x:v>
      </x:c>
      <x:c r="J39" s="11" t="str">
        <x:v>Collecté dans la simulation</x:v>
      </x:c>
      <x:c r="K39" s="11" t="str">
        <x:v>Contenu normalisé ou métadonnées selon le mode prévu</x:v>
      </x:c>
      <x:c r="L39" s="11" t="str">
        <x:v>SYNTHETIQUE</x:v>
      </x:c>
    </x:row>
    <x:row r="40" ht="28" customHeight="1">
      <x:c r="A40" s="10" t="str">
        <x:v>SRC-035</x:v>
      </x:c>
      <x:c r="B40" s="10" t="str">
        <x:v>Sinistres et indemnisation</x:v>
      </x:c>
      <x:c r="C40" s="10" t="str">
        <x:v>Devis et factures de réparation</x:v>
      </x:c>
      <x:c r="D40" s="10" t="str">
        <x:v>E — Échantillon</x:v>
      </x:c>
      <x:c r="E40" s="10" t="str">
        <x:v>01_sources_collectees/SRC-035.csv</x:v>
      </x:c>
      <x:c r="F40" s="10" t="n">
        <x:v>3</x:v>
      </x:c>
      <x:c r="G40" s="12" t="n">
        <x:v>46285</x:v>
      </x:c>
      <x:c r="H40" s="10" t="str">
        <x:v>Direction sinistres</x:v>
      </x:c>
      <x:c r="I40" s="10" t="str">
        <x:v>P1</x:v>
      </x:c>
      <x:c r="J40" s="10" t="str">
        <x:v>Collecté dans la simulation</x:v>
      </x:c>
      <x:c r="K40" s="10" t="str">
        <x:v>Contenu normalisé ou métadonnées selon le mode prévu</x:v>
      </x:c>
      <x:c r="L40" s="10" t="str">
        <x:v>SYNTHETIQUE</x:v>
      </x:c>
    </x:row>
    <x:row r="41" ht="28" customHeight="1">
      <x:c r="A41" s="11" t="str">
        <x:v>SRC-036</x:v>
      </x:c>
      <x:c r="B41" s="11" t="str">
        <x:v>Sinistres et indemnisation</x:v>
      </x:c>
      <x:c r="C41" s="11" t="str">
        <x:v>Règles et pouvoirs d'indemnisation</x:v>
      </x:c>
      <x:c r="D41" s="11" t="str">
        <x:v>D — Document ciblé</x:v>
      </x:c>
      <x:c r="E41" s="11" t="str">
        <x:v>01_sources_collectees/SRC-036.csv</x:v>
      </x:c>
      <x:c r="F41" s="11" t="n">
        <x:v>3</x:v>
      </x:c>
      <x:c r="G41" s="13" t="n">
        <x:v>46285</x:v>
      </x:c>
      <x:c r="H41" s="11" t="str">
        <x:v>Direction sinistres</x:v>
      </x:c>
      <x:c r="I41" s="11" t="str">
        <x:v>P0</x:v>
      </x:c>
      <x:c r="J41" s="11" t="str">
        <x:v>Collecté dans la simulation</x:v>
      </x:c>
      <x:c r="K41" s="11" t="str">
        <x:v>Contenu normalisé ou métadonnées selon le mode prévu</x:v>
      </x:c>
      <x:c r="L41" s="11" t="str">
        <x:v>SYNTHETIQUE</x:v>
      </x:c>
    </x:row>
    <x:row r="42" ht="28" customHeight="1">
      <x:c r="A42" s="10" t="str">
        <x:v>SRC-037</x:v>
      </x:c>
      <x:c r="B42" s="10" t="str">
        <x:v>Sinistres et indemnisation</x:v>
      </x:c>
      <x:c r="C42" s="10" t="str">
        <x:v>Journaux du workflow sinistres</x:v>
      </x:c>
      <x:c r="D42" s="10" t="str">
        <x:v>L — Événements</x:v>
      </x:c>
      <x:c r="E42" s="10" t="str">
        <x:v>01_sources_collectees/SRC-037.csv</x:v>
      </x:c>
      <x:c r="F42" s="10" t="n">
        <x:v>3</x:v>
      </x:c>
      <x:c r="G42" s="12" t="n">
        <x:v>46285</x:v>
      </x:c>
      <x:c r="H42" s="10" t="str">
        <x:v>Direction sinistres</x:v>
      </x:c>
      <x:c r="I42" s="10" t="str">
        <x:v>P0</x:v>
      </x:c>
      <x:c r="J42" s="10" t="str">
        <x:v>Collecté dans la simulation</x:v>
      </x:c>
      <x:c r="K42" s="10" t="str">
        <x:v>Contenu normalisé ou métadonnées selon le mode prévu</x:v>
      </x:c>
      <x:c r="L42" s="10" t="str">
        <x:v>SYNTHETIQUE</x:v>
      </x:c>
    </x:row>
    <x:row r="43" ht="28" customHeight="1">
      <x:c r="A43" s="11" t="str">
        <x:v>SRC-038</x:v>
      </x:c>
      <x:c r="B43" s="11" t="str">
        <x:v>Sinistres et indemnisation</x:v>
      </x:c>
      <x:c r="C43" s="11" t="str">
        <x:v>Recours, contentieux et subrogation</x:v>
      </x:c>
      <x:c r="D43" s="11" t="str">
        <x:v>A — Agrégats</x:v>
      </x:c>
      <x:c r="E43" s="11" t="str">
        <x:v>01_sources_collectees/SRC-038.csv</x:v>
      </x:c>
      <x:c r="F43" s="11" t="n">
        <x:v>3</x:v>
      </x:c>
      <x:c r="G43" s="13" t="n">
        <x:v>46285</x:v>
      </x:c>
      <x:c r="H43" s="11" t="str">
        <x:v>Direction sinistres</x:v>
      </x:c>
      <x:c r="I43" s="11" t="str">
        <x:v>P2</x:v>
      </x:c>
      <x:c r="J43" s="11" t="str">
        <x:v>Collecté dans la simulation</x:v>
      </x:c>
      <x:c r="K43" s="11" t="str">
        <x:v>Contenu normalisé ou métadonnées selon le mode prévu</x:v>
      </x:c>
      <x:c r="L43" s="11" t="str">
        <x:v>SYNTHETIQUE</x:v>
      </x:c>
    </x:row>
    <x:row r="44" ht="38" customHeight="1">
      <x:c r="A44" s="10" t="str">
        <x:v>SRC-039</x:v>
      </x:c>
      <x:c r="B44" s="10" t="str">
        <x:v>Santé et prévoyance</x:v>
      </x:c>
      <x:c r="C44" s="10" t="str">
        <x:v>Référentiels de prestations et garanties</x:v>
      </x:c>
      <x:c r="D44" s="10" t="str">
        <x:v>D — Document ciblé</x:v>
      </x:c>
      <x:c r="E44" s="10" t="str">
        <x:v>01_sources_collectees/SRC-039.csv</x:v>
      </x:c>
      <x:c r="F44" s="10" t="n">
        <x:v>3</x:v>
      </x:c>
      <x:c r="G44" s="12" t="n">
        <x:v>46285</x:v>
      </x:c>
      <x:c r="H44" s="10" t="str">
        <x:v>Opérations santé / prévoyance</x:v>
      </x:c>
      <x:c r="I44" s="10" t="str">
        <x:v>P1</x:v>
      </x:c>
      <x:c r="J44" s="10" t="str">
        <x:v>Collecté dans la simulation</x:v>
      </x:c>
      <x:c r="K44" s="10" t="str">
        <x:v>Contenu normalisé ou métadonnées selon le mode prévu</x:v>
      </x:c>
      <x:c r="L44" s="10" t="str">
        <x:v>SYNTHETIQUE</x:v>
      </x:c>
    </x:row>
    <x:row r="45" ht="28" customHeight="1">
      <x:c r="A45" s="11" t="str">
        <x:v>SRC-040</x:v>
      </x:c>
      <x:c r="B45" s="11" t="str">
        <x:v>Santé et prévoyance</x:v>
      </x:c>
      <x:c r="C45" s="11" t="str">
        <x:v>Flux de remboursement et tiers payant</x:v>
      </x:c>
      <x:c r="D45" s="11" t="str">
        <x:v>A — Agrégats</x:v>
      </x:c>
      <x:c r="E45" s="11" t="str">
        <x:v>01_sources_collectees/SRC-040.csv</x:v>
      </x:c>
      <x:c r="F45" s="11" t="n">
        <x:v>3</x:v>
      </x:c>
      <x:c r="G45" s="13" t="n">
        <x:v>46285</x:v>
      </x:c>
      <x:c r="H45" s="11" t="str">
        <x:v>Opérations santé / prévoyance</x:v>
      </x:c>
      <x:c r="I45" s="11" t="str">
        <x:v>P1</x:v>
      </x:c>
      <x:c r="J45" s="11" t="str">
        <x:v>Collecté dans la simulation</x:v>
      </x:c>
      <x:c r="K45" s="11" t="str">
        <x:v>Contenu normalisé ou métadonnées selon le mode prévu</x:v>
      </x:c>
      <x:c r="L45" s="11" t="str">
        <x:v>SYNTHETIQUE</x:v>
      </x:c>
    </x:row>
    <x:row r="46" ht="28" customHeight="1">
      <x:c r="A46" s="10" t="str">
        <x:v>SRC-041</x:v>
      </x:c>
      <x:c r="B46" s="10" t="str">
        <x:v>Santé et prévoyance</x:v>
      </x:c>
      <x:c r="C46" s="10" t="str">
        <x:v>Pièces médicales et justificatifs</x:v>
      </x:c>
      <x:c r="D46" s="10" t="str">
        <x:v>M — Métadonnées</x:v>
      </x:c>
      <x:c r="E46" s="10" t="str">
        <x:v>01_sources_collectees/SRC-041.csv</x:v>
      </x:c>
      <x:c r="F46" s="10" t="n">
        <x:v>3</x:v>
      </x:c>
      <x:c r="G46" s="12" t="n">
        <x:v>46285</x:v>
      </x:c>
      <x:c r="H46" s="10" t="str">
        <x:v>Opérations santé / prévoyance</x:v>
      </x:c>
      <x:c r="I46" s="10" t="str">
        <x:v>P2</x:v>
      </x:c>
      <x:c r="J46" s="10" t="str">
        <x:v>Collecté dans la simulation</x:v>
      </x:c>
      <x:c r="K46" s="10" t="str">
        <x:v>Contenu normalisé ou métadonnées selon le mode prévu</x:v>
      </x:c>
      <x:c r="L46" s="10" t="str">
        <x:v>SYNTHETIQUE</x:v>
      </x:c>
    </x:row>
    <x:row r="47" ht="38" customHeight="1">
      <x:c r="A47" s="11" t="str">
        <x:v>SRC-042</x:v>
      </x:c>
      <x:c r="B47" s="11" t="str">
        <x:v>Santé et prévoyance</x:v>
      </x:c>
      <x:c r="C47" s="11" t="str">
        <x:v>Parcours incapacité, invalidité et décès</x:v>
      </x:c>
      <x:c r="D47" s="11" t="str">
        <x:v>D — Document ciblé</x:v>
      </x:c>
      <x:c r="E47" s="11" t="str">
        <x:v>01_sources_collectees/SRC-042.csv</x:v>
      </x:c>
      <x:c r="F47" s="11" t="n">
        <x:v>3</x:v>
      </x:c>
      <x:c r="G47" s="13" t="n">
        <x:v>46285</x:v>
      </x:c>
      <x:c r="H47" s="11" t="str">
        <x:v>Opérations santé / prévoyance</x:v>
      </x:c>
      <x:c r="I47" s="11" t="str">
        <x:v>P1</x:v>
      </x:c>
      <x:c r="J47" s="11" t="str">
        <x:v>Collecté dans la simulation</x:v>
      </x:c>
      <x:c r="K47" s="11" t="str">
        <x:v>Contenu normalisé ou métadonnées selon le mode prévu</x:v>
      </x:c>
      <x:c r="L47" s="11" t="str">
        <x:v>SYNTHETIQUE</x:v>
      </x:c>
    </x:row>
    <x:row r="48" ht="28" customHeight="1">
      <x:c r="A48" s="10" t="str">
        <x:v>SRC-043</x:v>
      </x:c>
      <x:c r="B48" s="10" t="str">
        <x:v>Santé et prévoyance</x:v>
      </x:c>
      <x:c r="C48" s="10" t="str">
        <x:v>Gestion des contrats collectifs</x:v>
      </x:c>
      <x:c r="D48" s="10" t="str">
        <x:v>A — Agrégats</x:v>
      </x:c>
      <x:c r="E48" s="10" t="str">
        <x:v>01_sources_collectees/SRC-043.csv</x:v>
      </x:c>
      <x:c r="F48" s="10" t="n">
        <x:v>3</x:v>
      </x:c>
      <x:c r="G48" s="12" t="n">
        <x:v>46285</x:v>
      </x:c>
      <x:c r="H48" s="10" t="str">
        <x:v>Opérations santé / prévoyance</x:v>
      </x:c>
      <x:c r="I48" s="10" t="str">
        <x:v>P1</x:v>
      </x:c>
      <x:c r="J48" s="10" t="str">
        <x:v>Collecté dans la simulation</x:v>
      </x:c>
      <x:c r="K48" s="10" t="str">
        <x:v>Contenu normalisé ou métadonnées selon le mode prévu</x:v>
      </x:c>
      <x:c r="L48" s="10" t="str">
        <x:v>SYNTHETIQUE</x:v>
      </x:c>
    </x:row>
    <x:row r="49" ht="38" customHeight="1">
      <x:c r="A49" s="11" t="str">
        <x:v>SRC-044</x:v>
      </x:c>
      <x:c r="B49" s="11" t="str">
        <x:v>Vie, épargne et retraite</x:v>
      </x:c>
      <x:c r="C49" s="11" t="str">
        <x:v>Parcours de conseil et adéquation</x:v>
      </x:c>
      <x:c r="D49" s="11" t="str">
        <x:v>D — Document ciblé</x:v>
      </x:c>
      <x:c r="E49" s="11" t="str">
        <x:v>01_sources_collectees/SRC-044.csv</x:v>
      </x:c>
      <x:c r="F49" s="11" t="n">
        <x:v>3</x:v>
      </x:c>
      <x:c r="G49" s="13" t="n">
        <x:v>46285</x:v>
      </x:c>
      <x:c r="H49" s="11" t="str">
        <x:v>Direction vie / épargne / retraite</x:v>
      </x:c>
      <x:c r="I49" s="11" t="str">
        <x:v>P1</x:v>
      </x:c>
      <x:c r="J49" s="11" t="str">
        <x:v>Collecté dans la simulation</x:v>
      </x:c>
      <x:c r="K49" s="11" t="str">
        <x:v>Contenu normalisé ou métadonnées selon le mode prévu</x:v>
      </x:c>
      <x:c r="L49" s="11" t="str">
        <x:v>SYNTHETIQUE</x:v>
      </x:c>
    </x:row>
    <x:row r="50" ht="38" customHeight="1">
      <x:c r="A50" s="10" t="str">
        <x:v>SRC-045</x:v>
      </x:c>
      <x:c r="B50" s="10" t="str">
        <x:v>Vie, épargne et retraite</x:v>
      </x:c>
      <x:c r="C50" s="10" t="str">
        <x:v>Opérations versement, rachat et arbitrage</x:v>
      </x:c>
      <x:c r="D50" s="10" t="str">
        <x:v>A — Agrégats</x:v>
      </x:c>
      <x:c r="E50" s="10" t="str">
        <x:v>01_sources_collectees/SRC-045.csv</x:v>
      </x:c>
      <x:c r="F50" s="10" t="n">
        <x:v>3</x:v>
      </x:c>
      <x:c r="G50" s="12" t="n">
        <x:v>46285</x:v>
      </x:c>
      <x:c r="H50" s="10" t="str">
        <x:v>Direction vie / épargne / retraite</x:v>
      </x:c>
      <x:c r="I50" s="10" t="str">
        <x:v>P1</x:v>
      </x:c>
      <x:c r="J50" s="10" t="str">
        <x:v>Collecté dans la simulation</x:v>
      </x:c>
      <x:c r="K50" s="10" t="str">
        <x:v>Contenu normalisé ou métadonnées selon le mode prévu</x:v>
      </x:c>
      <x:c r="L50" s="10" t="str">
        <x:v>SYNTHETIQUE</x:v>
      </x:c>
    </x:row>
    <x:row r="51" ht="38" customHeight="1">
      <x:c r="A51" s="11" t="str">
        <x:v>SRC-046</x:v>
      </x:c>
      <x:c r="B51" s="11" t="str">
        <x:v>Vie, épargne et retraite</x:v>
      </x:c>
      <x:c r="C51" s="11" t="str">
        <x:v>Catalogue de supports et documentation</x:v>
      </x:c>
      <x:c r="D51" s="11" t="str">
        <x:v>D — Document ciblé</x:v>
      </x:c>
      <x:c r="E51" s="11" t="str">
        <x:v>01_sources_collectees/SRC-046.csv</x:v>
      </x:c>
      <x:c r="F51" s="11" t="n">
        <x:v>3</x:v>
      </x:c>
      <x:c r="G51" s="13" t="n">
        <x:v>46285</x:v>
      </x:c>
      <x:c r="H51" s="11" t="str">
        <x:v>Direction vie / épargne / retraite</x:v>
      </x:c>
      <x:c r="I51" s="11" t="str">
        <x:v>P1</x:v>
      </x:c>
      <x:c r="J51" s="11" t="str">
        <x:v>Collecté dans la simulation</x:v>
      </x:c>
      <x:c r="K51" s="11" t="str">
        <x:v>Contenu normalisé ou métadonnées selon le mode prévu</x:v>
      </x:c>
      <x:c r="L51" s="11" t="str">
        <x:v>SYNTHETIQUE</x:v>
      </x:c>
    </x:row>
    <x:row r="52" ht="38" customHeight="1">
      <x:c r="A52" s="10" t="str">
        <x:v>SRC-047</x:v>
      </x:c>
      <x:c r="B52" s="10" t="str">
        <x:v>Vie, épargne et retraite</x:v>
      </x:c>
      <x:c r="C52" s="10" t="str">
        <x:v>Bénéficiaires, successions et déshérence</x:v>
      </x:c>
      <x:c r="D52" s="10" t="str">
        <x:v>A — Agrégats</x:v>
      </x:c>
      <x:c r="E52" s="10" t="str">
        <x:v>01_sources_collectees/SRC-047.csv</x:v>
      </x:c>
      <x:c r="F52" s="10" t="n">
        <x:v>3</x:v>
      </x:c>
      <x:c r="G52" s="12" t="n">
        <x:v>46285</x:v>
      </x:c>
      <x:c r="H52" s="10" t="str">
        <x:v>Direction vie / épargne / retraite</x:v>
      </x:c>
      <x:c r="I52" s="10" t="str">
        <x:v>P2</x:v>
      </x:c>
      <x:c r="J52" s="10" t="str">
        <x:v>Collecté dans la simulation</x:v>
      </x:c>
      <x:c r="K52" s="10" t="str">
        <x:v>Contenu normalisé ou métadonnées selon le mode prévu</x:v>
      </x:c>
      <x:c r="L52" s="10" t="str">
        <x:v>SYNTHETIQUE</x:v>
      </x:c>
    </x:row>
    <x:row r="53" ht="38" customHeight="1">
      <x:c r="A53" s="11" t="str">
        <x:v>SRC-048</x:v>
      </x:c>
      <x:c r="B53" s="11" t="str">
        <x:v>Vie, épargne et retraite</x:v>
      </x:c>
      <x:c r="C53" s="11" t="str">
        <x:v>Reporting d'information aux assurés</x:v>
      </x:c>
      <x:c r="D53" s="11" t="str">
        <x:v>D — Document ciblé</x:v>
      </x:c>
      <x:c r="E53" s="11" t="str">
        <x:v>01_sources_collectees/SRC-048.csv</x:v>
      </x:c>
      <x:c r="F53" s="11" t="n">
        <x:v>3</x:v>
      </x:c>
      <x:c r="G53" s="13" t="n">
        <x:v>46285</x:v>
      </x:c>
      <x:c r="H53" s="11" t="str">
        <x:v>Direction vie / épargne / retraite</x:v>
      </x:c>
      <x:c r="I53" s="11" t="str">
        <x:v>P1</x:v>
      </x:c>
      <x:c r="J53" s="11" t="str">
        <x:v>Collecté dans la simulation</x:v>
      </x:c>
      <x:c r="K53" s="11" t="str">
        <x:v>Contenu normalisé ou métadonnées selon le mode prévu</x:v>
      </x:c>
      <x:c r="L53" s="11" t="str">
        <x:v>SYNTHETIQUE</x:v>
      </x:c>
    </x:row>
    <x:row r="54" ht="28" customHeight="1">
      <x:c r="A54" s="10" t="str">
        <x:v>SRC-049</x:v>
      </x:c>
      <x:c r="B54" s="10" t="str">
        <x:v>Assistance et prestataires</x:v>
      </x:c>
      <x:c r="C54" s="10" t="str">
        <x:v>Catalogue de services d'assistance</x:v>
      </x:c>
      <x:c r="D54" s="10" t="str">
        <x:v>D — Document ciblé</x:v>
      </x:c>
      <x:c r="E54" s="10" t="str">
        <x:v>01_sources_collectees/SRC-049.csv</x:v>
      </x:c>
      <x:c r="F54" s="10" t="n">
        <x:v>3</x:v>
      </x:c>
      <x:c r="G54" s="12" t="n">
        <x:v>46285</x:v>
      </x:c>
      <x:c r="H54" s="10" t="str">
        <x:v>Assistance / achats métier</x:v>
      </x:c>
      <x:c r="I54" s="10" t="str">
        <x:v>P1</x:v>
      </x:c>
      <x:c r="J54" s="10" t="str">
        <x:v>Collecté dans la simulation</x:v>
      </x:c>
      <x:c r="K54" s="10" t="str">
        <x:v>Contenu normalisé ou métadonnées selon le mode prévu</x:v>
      </x:c>
      <x:c r="L54" s="10" t="str">
        <x:v>SYNTHETIQUE</x:v>
      </x:c>
    </x:row>
    <x:row r="55" ht="28" customHeight="1">
      <x:c r="A55" s="11" t="str">
        <x:v>SRC-050</x:v>
      </x:c>
      <x:c r="B55" s="11" t="str">
        <x:v>Assistance et prestataires</x:v>
      </x:c>
      <x:c r="C55" s="11" t="str">
        <x:v>Règles d'orientation et mobilisation</x:v>
      </x:c>
      <x:c r="D55" s="11" t="str">
        <x:v>D — Document ciblé</x:v>
      </x:c>
      <x:c r="E55" s="11" t="str">
        <x:v>01_sources_collectees/SRC-050.csv</x:v>
      </x:c>
      <x:c r="F55" s="11" t="n">
        <x:v>3</x:v>
      </x:c>
      <x:c r="G55" s="13" t="n">
        <x:v>46285</x:v>
      </x:c>
      <x:c r="H55" s="11" t="str">
        <x:v>Assistance / achats métier</x:v>
      </x:c>
      <x:c r="I55" s="11" t="str">
        <x:v>P1</x:v>
      </x:c>
      <x:c r="J55" s="11" t="str">
        <x:v>Collecté dans la simulation</x:v>
      </x:c>
      <x:c r="K55" s="11" t="str">
        <x:v>Contenu normalisé ou métadonnées selon le mode prévu</x:v>
      </x:c>
      <x:c r="L55" s="11" t="str">
        <x:v>SYNTHETIQUE</x:v>
      </x:c>
    </x:row>
    <x:row r="56" ht="28" customHeight="1">
      <x:c r="A56" s="10" t="str">
        <x:v>SRC-051</x:v>
      </x:c>
      <x:c r="B56" s="10" t="str">
        <x:v>Assistance et prestataires</x:v>
      </x:c>
      <x:c r="C56" s="10" t="str">
        <x:v>Réseaux réparateurs et experts</x:v>
      </x:c>
      <x:c r="D56" s="10" t="str">
        <x:v>M — Métadonnées</x:v>
      </x:c>
      <x:c r="E56" s="10" t="str">
        <x:v>01_sources_collectees/SRC-051.csv</x:v>
      </x:c>
      <x:c r="F56" s="10" t="n">
        <x:v>3</x:v>
      </x:c>
      <x:c r="G56" s="12" t="n">
        <x:v>46285</x:v>
      </x:c>
      <x:c r="H56" s="10" t="str">
        <x:v>Assistance / achats métier</x:v>
      </x:c>
      <x:c r="I56" s="10" t="str">
        <x:v>P1</x:v>
      </x:c>
      <x:c r="J56" s="10" t="str">
        <x:v>Collecté dans la simulation</x:v>
      </x:c>
      <x:c r="K56" s="10" t="str">
        <x:v>Contenu normalisé ou métadonnées selon le mode prévu</x:v>
      </x:c>
      <x:c r="L56" s="10" t="str">
        <x:v>SYNTHETIQUE</x:v>
      </x:c>
    </x:row>
    <x:row r="57" ht="28" customHeight="1">
      <x:c r="A57" s="11" t="str">
        <x:v>SRC-052</x:v>
      </x:c>
      <x:c r="B57" s="11" t="str">
        <x:v>Assistance et prestataires</x:v>
      </x:c>
      <x:c r="C57" s="11" t="str">
        <x:v>Performance des prestataires</x:v>
      </x:c>
      <x:c r="D57" s="11" t="str">
        <x:v>A — Agrégats</x:v>
      </x:c>
      <x:c r="E57" s="11" t="str">
        <x:v>01_sources_collectees/SRC-052.csv</x:v>
      </x:c>
      <x:c r="F57" s="11" t="n">
        <x:v>3</x:v>
      </x:c>
      <x:c r="G57" s="13" t="n">
        <x:v>46285</x:v>
      </x:c>
      <x:c r="H57" s="11" t="str">
        <x:v>Assistance / achats métier</x:v>
      </x:c>
      <x:c r="I57" s="11" t="str">
        <x:v>P1</x:v>
      </x:c>
      <x:c r="J57" s="11" t="str">
        <x:v>Collecté dans la simulation</x:v>
      </x:c>
      <x:c r="K57" s="11" t="str">
        <x:v>Contenu normalisé ou métadonnées selon le mode prévu</x:v>
      </x:c>
      <x:c r="L57" s="11" t="str">
        <x:v>SYNTHETIQUE</x:v>
      </x:c>
    </x:row>
    <x:row r="58" ht="38" customHeight="1">
      <x:c r="A58" s="10" t="str">
        <x:v>SRC-053</x:v>
      </x:c>
      <x:c r="B58" s="10" t="str">
        <x:v>Assistance et prestataires</x:v>
      </x:c>
      <x:c r="C58" s="10" t="str">
        <x:v>Parcours de crise et événements majeurs</x:v>
      </x:c>
      <x:c r="D58" s="10" t="str">
        <x:v>D — Document ciblé</x:v>
      </x:c>
      <x:c r="E58" s="10" t="str">
        <x:v>01_sources_collectees/SRC-053.csv</x:v>
      </x:c>
      <x:c r="F58" s="10" t="n">
        <x:v>3</x:v>
      </x:c>
      <x:c r="G58" s="12" t="n">
        <x:v>46285</x:v>
      </x:c>
      <x:c r="H58" s="10" t="str">
        <x:v>Assistance / achats métier</x:v>
      </x:c>
      <x:c r="I58" s="10" t="str">
        <x:v>P2</x:v>
      </x:c>
      <x:c r="J58" s="10" t="str">
        <x:v>Collecté dans la simulation</x:v>
      </x:c>
      <x:c r="K58" s="10" t="str">
        <x:v>Contenu normalisé ou métadonnées selon le mode prévu</x:v>
      </x:c>
      <x:c r="L58" s="10" t="str">
        <x:v>SYNTHETIQUE</x:v>
      </x:c>
    </x:row>
    <x:row r="59" ht="28" customHeight="1">
      <x:c r="A59" s="11" t="str">
        <x:v>SRC-054</x:v>
      </x:c>
      <x:c r="B59" s="11" t="str">
        <x:v>Réassurance et coassurance</x:v>
      </x:c>
      <x:c r="C59" s="11" t="str">
        <x:v>Traités, facultatives et accords</x:v>
      </x:c>
      <x:c r="D59" s="11" t="str">
        <x:v>D — Document ciblé</x:v>
      </x:c>
      <x:c r="E59" s="11" t="str">
        <x:v>01_sources_collectees/SRC-054.csv</x:v>
      </x:c>
      <x:c r="F59" s="11" t="n">
        <x:v>3</x:v>
      </x:c>
      <x:c r="G59" s="13" t="n">
        <x:v>46285</x:v>
      </x:c>
      <x:c r="H59" s="11" t="str">
        <x:v>Direction réassurance</x:v>
      </x:c>
      <x:c r="I59" s="11" t="str">
        <x:v>P2</x:v>
      </x:c>
      <x:c r="J59" s="11" t="str">
        <x:v>Collecté dans la simulation</x:v>
      </x:c>
      <x:c r="K59" s="11" t="str">
        <x:v>Contenu normalisé ou métadonnées selon le mode prévu</x:v>
      </x:c>
      <x:c r="L59" s="11" t="str">
        <x:v>SYNTHETIQUE</x:v>
      </x:c>
    </x:row>
    <x:row r="60" ht="28" customHeight="1">
      <x:c r="A60" s="10" t="str">
        <x:v>SRC-055</x:v>
      </x:c>
      <x:c r="B60" s="10" t="str">
        <x:v>Réassurance et coassurance</x:v>
      </x:c>
      <x:c r="C60" s="10" t="str">
        <x:v>Bordereaux et comptes de réassurance</x:v>
      </x:c>
      <x:c r="D60" s="10" t="str">
        <x:v>A — Agrégats</x:v>
      </x:c>
      <x:c r="E60" s="10" t="str">
        <x:v>01_sources_collectees/SRC-055.csv</x:v>
      </x:c>
      <x:c r="F60" s="10" t="n">
        <x:v>3</x:v>
      </x:c>
      <x:c r="G60" s="12" t="n">
        <x:v>46285</x:v>
      </x:c>
      <x:c r="H60" s="10" t="str">
        <x:v>Direction réassurance</x:v>
      </x:c>
      <x:c r="I60" s="10" t="str">
        <x:v>P2</x:v>
      </x:c>
      <x:c r="J60" s="10" t="str">
        <x:v>Collecté dans la simulation</x:v>
      </x:c>
      <x:c r="K60" s="10" t="str">
        <x:v>Contenu normalisé ou métadonnées selon le mode prévu</x:v>
      </x:c>
      <x:c r="L60" s="10" t="str">
        <x:v>SYNTHETIQUE</x:v>
      </x:c>
    </x:row>
    <x:row r="61" ht="28" customHeight="1">
      <x:c r="A61" s="11" t="str">
        <x:v>SRC-056</x:v>
      </x:c>
      <x:c r="B61" s="11" t="str">
        <x:v>Réassurance et coassurance</x:v>
      </x:c>
      <x:c r="C61" s="11" t="str">
        <x:v>Expositions et cumuls de risques</x:v>
      </x:c>
      <x:c r="D61" s="11" t="str">
        <x:v>A — Agrégats</x:v>
      </x:c>
      <x:c r="E61" s="11" t="str">
        <x:v>01_sources_collectees/SRC-056.csv</x:v>
      </x:c>
      <x:c r="F61" s="11" t="n">
        <x:v>3</x:v>
      </x:c>
      <x:c r="G61" s="13" t="n">
        <x:v>46285</x:v>
      </x:c>
      <x:c r="H61" s="11" t="str">
        <x:v>Direction réassurance</x:v>
      </x:c>
      <x:c r="I61" s="11" t="str">
        <x:v>P2</x:v>
      </x:c>
      <x:c r="J61" s="11" t="str">
        <x:v>Collecté dans la simulation</x:v>
      </x:c>
      <x:c r="K61" s="11" t="str">
        <x:v>Contenu normalisé ou métadonnées selon le mode prévu</x:v>
      </x:c>
      <x:c r="L61" s="11" t="str">
        <x:v>SYNTHETIQUE</x:v>
      </x:c>
    </x:row>
    <x:row r="62" ht="38" customHeight="1">
      <x:c r="A62" s="10" t="str">
        <x:v>SRC-057</x:v>
      </x:c>
      <x:c r="B62" s="10" t="str">
        <x:v>Réassurance et coassurance</x:v>
      </x:c>
      <x:c r="C62" s="10" t="str">
        <x:v>Échanges de placement et renouvellement</x:v>
      </x:c>
      <x:c r="D62" s="10" t="str">
        <x:v>E — Échantillon</x:v>
      </x:c>
      <x:c r="E62" s="10" t="str">
        <x:v>01_sources_collectees/SRC-057.csv</x:v>
      </x:c>
      <x:c r="F62" s="10" t="n">
        <x:v>3</x:v>
      </x:c>
      <x:c r="G62" s="12" t="n">
        <x:v>46285</x:v>
      </x:c>
      <x:c r="H62" s="10" t="str">
        <x:v>Direction réassurance</x:v>
      </x:c>
      <x:c r="I62" s="10" t="str">
        <x:v>P2</x:v>
      </x:c>
      <x:c r="J62" s="10" t="str">
        <x:v>Collecté dans la simulation</x:v>
      </x:c>
      <x:c r="K62" s="10" t="str">
        <x:v>Contenu normalisé ou métadonnées selon le mode prévu</x:v>
      </x:c>
      <x:c r="L62" s="10" t="str">
        <x:v>SYNTHETIQUE</x:v>
      </x:c>
    </x:row>
    <x:row r="63" ht="38" customHeight="1">
      <x:c r="A63" s="11" t="str">
        <x:v>SRC-058</x:v>
      </x:c>
      <x:c r="B63" s="11" t="str">
        <x:v>Actuariat, capital et investissements</x:v>
      </x:c>
      <x:c r="C63" s="11" t="str">
        <x:v>Documentation des modèles actuariels</x:v>
      </x:c>
      <x:c r="D63" s="11" t="str">
        <x:v>M — Métadonnées</x:v>
      </x:c>
      <x:c r="E63" s="11" t="str">
        <x:v>01_sources_collectees/SRC-058.csv</x:v>
      </x:c>
      <x:c r="F63" s="11" t="n">
        <x:v>3</x:v>
      </x:c>
      <x:c r="G63" s="13" t="n">
        <x:v>46285</x:v>
      </x:c>
      <x:c r="H63" s="11" t="str">
        <x:v>Actuariat / risques / investissements</x:v>
      </x:c>
      <x:c r="I63" s="11" t="str">
        <x:v>P1</x:v>
      </x:c>
      <x:c r="J63" s="11" t="str">
        <x:v>Collecté dans la simulation</x:v>
      </x:c>
      <x:c r="K63" s="11" t="str">
        <x:v>Contenu normalisé ou métadonnées selon le mode prévu</x:v>
      </x:c>
      <x:c r="L63" s="11" t="str">
        <x:v>SYNTHETIQUE</x:v>
      </x:c>
    </x:row>
    <x:row r="64" ht="38" customHeight="1">
      <x:c r="A64" s="10" t="str">
        <x:v>SRC-059</x:v>
      </x:c>
      <x:c r="B64" s="10" t="str">
        <x:v>Actuariat, capital et investissements</x:v>
      </x:c>
      <x:c r="C64" s="10" t="str">
        <x:v>Provisions et suivi de sinistralité</x:v>
      </x:c>
      <x:c r="D64" s="10" t="str">
        <x:v>A — Agrégats</x:v>
      </x:c>
      <x:c r="E64" s="10" t="str">
        <x:v>01_sources_collectees/SRC-059.csv</x:v>
      </x:c>
      <x:c r="F64" s="10" t="n">
        <x:v>3</x:v>
      </x:c>
      <x:c r="G64" s="12" t="n">
        <x:v>46285</x:v>
      </x:c>
      <x:c r="H64" s="10" t="str">
        <x:v>Actuariat / risques / investissements</x:v>
      </x:c>
      <x:c r="I64" s="10" t="str">
        <x:v>P2</x:v>
      </x:c>
      <x:c r="J64" s="10" t="str">
        <x:v>Collecté dans la simulation</x:v>
      </x:c>
      <x:c r="K64" s="10" t="str">
        <x:v>Contenu normalisé ou métadonnées selon le mode prévu</x:v>
      </x:c>
      <x:c r="L64" s="10" t="str">
        <x:v>SYNTHETIQUE</x:v>
      </x:c>
    </x:row>
    <x:row r="65" ht="38" customHeight="1">
      <x:c r="A65" s="11" t="str">
        <x:v>SRC-060</x:v>
      </x:c>
      <x:c r="B65" s="11" t="str">
        <x:v>Actuariat, capital et investissements</x:v>
      </x:c>
      <x:c r="C65" s="11" t="str">
        <x:v>Reportings prudentiels et financiers</x:v>
      </x:c>
      <x:c r="D65" s="11" t="str">
        <x:v>M — Métadonnées</x:v>
      </x:c>
      <x:c r="E65" s="11" t="str">
        <x:v>01_sources_collectees/SRC-060.csv</x:v>
      </x:c>
      <x:c r="F65" s="11" t="n">
        <x:v>3</x:v>
      </x:c>
      <x:c r="G65" s="13" t="n">
        <x:v>46285</x:v>
      </x:c>
      <x:c r="H65" s="11" t="str">
        <x:v>Actuariat / risques / investissements</x:v>
      </x:c>
      <x:c r="I65" s="11" t="str">
        <x:v>P1</x:v>
      </x:c>
      <x:c r="J65" s="11" t="str">
        <x:v>Collecté dans la simulation</x:v>
      </x:c>
      <x:c r="K65" s="11" t="str">
        <x:v>Contenu normalisé ou métadonnées selon le mode prévu</x:v>
      </x:c>
      <x:c r="L65" s="11" t="str">
        <x:v>SYNTHETIQUE</x:v>
      </x:c>
    </x:row>
    <x:row r="66" ht="38" customHeight="1">
      <x:c r="A66" s="10" t="str">
        <x:v>SRC-061</x:v>
      </x:c>
      <x:c r="B66" s="10" t="str">
        <x:v>Actuariat, capital et investissements</x:v>
      </x:c>
      <x:c r="C66" s="10" t="str">
        <x:v>ORSA, scénarios et stress tests</x:v>
      </x:c>
      <x:c r="D66" s="10" t="str">
        <x:v>D — Document ciblé</x:v>
      </x:c>
      <x:c r="E66" s="10" t="str">
        <x:v>01_sources_collectees/SRC-061.csv</x:v>
      </x:c>
      <x:c r="F66" s="10" t="n">
        <x:v>3</x:v>
      </x:c>
      <x:c r="G66" s="12" t="n">
        <x:v>46285</x:v>
      </x:c>
      <x:c r="H66" s="10" t="str">
        <x:v>Actuariat / risques / investissements</x:v>
      </x:c>
      <x:c r="I66" s="10" t="str">
        <x:v>P2</x:v>
      </x:c>
      <x:c r="J66" s="10" t="str">
        <x:v>Collecté dans la simulation</x:v>
      </x:c>
      <x:c r="K66" s="10" t="str">
        <x:v>Contenu normalisé ou métadonnées selon le mode prévu</x:v>
      </x:c>
      <x:c r="L66" s="10" t="str">
        <x:v>SYNTHETIQUE</x:v>
      </x:c>
    </x:row>
    <x:row r="67" ht="38" customHeight="1">
      <x:c r="A67" s="11" t="str">
        <x:v>SRC-062</x:v>
      </x:c>
      <x:c r="B67" s="11" t="str">
        <x:v>Actuariat, capital et investissements</x:v>
      </x:c>
      <x:c r="C67" s="11" t="str">
        <x:v>ALM et portefeuille d'investissements</x:v>
      </x:c>
      <x:c r="D67" s="11" t="str">
        <x:v>A — Agrégats</x:v>
      </x:c>
      <x:c r="E67" s="11" t="str">
        <x:v>01_sources_collectees/SRC-062.csv</x:v>
      </x:c>
      <x:c r="F67" s="11" t="n">
        <x:v>3</x:v>
      </x:c>
      <x:c r="G67" s="13" t="n">
        <x:v>46285</x:v>
      </x:c>
      <x:c r="H67" s="11" t="str">
        <x:v>Actuariat / risques / investissements</x:v>
      </x:c>
      <x:c r="I67" s="11" t="str">
        <x:v>P2</x:v>
      </x:c>
      <x:c r="J67" s="11" t="str">
        <x:v>Collecté dans la simulation</x:v>
      </x:c>
      <x:c r="K67" s="11" t="str">
        <x:v>Contenu normalisé ou métadonnées selon le mode prévu</x:v>
      </x:c>
      <x:c r="L67" s="11" t="str">
        <x:v>SYNTHETIQUE</x:v>
      </x:c>
    </x:row>
    <x:row r="68" ht="38" customHeight="1">
      <x:c r="A68" s="10" t="str">
        <x:v>SRC-063</x:v>
      </x:c>
      <x:c r="B68" s="10" t="str">
        <x:v>Fraude et sécurité financière</x:v>
      </x:c>
      <x:c r="C68" s="10" t="str">
        <x:v>Typologies de fraude et règles de détection</x:v>
      </x:c>
      <x:c r="D68" s="10" t="str">
        <x:v>D — Document ciblé</x:v>
      </x:c>
      <x:c r="E68" s="10" t="str">
        <x:v>01_sources_collectees/SRC-063.csv</x:v>
      </x:c>
      <x:c r="F68" s="10" t="n">
        <x:v>3</x:v>
      </x:c>
      <x:c r="G68" s="12" t="n">
        <x:v>46285</x:v>
      </x:c>
      <x:c r="H68" s="10" t="str">
        <x:v>Antifraude / conformité financière</x:v>
      </x:c>
      <x:c r="I68" s="10" t="str">
        <x:v>P1</x:v>
      </x:c>
      <x:c r="J68" s="10" t="str">
        <x:v>Collecté dans la simulation</x:v>
      </x:c>
      <x:c r="K68" s="10" t="str">
        <x:v>Contenu normalisé ou métadonnées selon le mode prévu</x:v>
      </x:c>
      <x:c r="L68" s="10" t="str">
        <x:v>SYNTHETIQUE</x:v>
      </x:c>
    </x:row>
    <x:row r="69" ht="38" customHeight="1">
      <x:c r="A69" s="11" t="str">
        <x:v>SRC-064</x:v>
      </x:c>
      <x:c r="B69" s="11" t="str">
        <x:v>Fraude et sécurité financière</x:v>
      </x:c>
      <x:c r="C69" s="11" t="str">
        <x:v>Alertes et résultats d'investigation</x:v>
      </x:c>
      <x:c r="D69" s="11" t="str">
        <x:v>A — Agrégats</x:v>
      </x:c>
      <x:c r="E69" s="11" t="str">
        <x:v>01_sources_collectees/SRC-064.csv</x:v>
      </x:c>
      <x:c r="F69" s="11" t="n">
        <x:v>3</x:v>
      </x:c>
      <x:c r="G69" s="13" t="n">
        <x:v>46285</x:v>
      </x:c>
      <x:c r="H69" s="11" t="str">
        <x:v>Antifraude / conformité financière</x:v>
      </x:c>
      <x:c r="I69" s="11" t="str">
        <x:v>P1</x:v>
      </x:c>
      <x:c r="J69" s="11" t="str">
        <x:v>Collecté dans la simulation</x:v>
      </x:c>
      <x:c r="K69" s="11" t="str">
        <x:v>Contenu normalisé ou métadonnées selon le mode prévu</x:v>
      </x:c>
      <x:c r="L69" s="11" t="str">
        <x:v>SYNTHETIQUE</x:v>
      </x:c>
    </x:row>
    <x:row r="70" ht="38" customHeight="1">
      <x:c r="A70" s="10" t="str">
        <x:v>SRC-065</x:v>
      </x:c>
      <x:c r="B70" s="10" t="str">
        <x:v>Fraude et sécurité financière</x:v>
      </x:c>
      <x:c r="C70" s="10" t="str">
        <x:v>Dossiers d'enquête antifraude</x:v>
      </x:c>
      <x:c r="D70" s="10" t="str">
        <x:v>M — Métadonnées</x:v>
      </x:c>
      <x:c r="E70" s="10" t="str">
        <x:v>01_sources_collectees/SRC-065.csv</x:v>
      </x:c>
      <x:c r="F70" s="10" t="n">
        <x:v>3</x:v>
      </x:c>
      <x:c r="G70" s="12" t="n">
        <x:v>46285</x:v>
      </x:c>
      <x:c r="H70" s="10" t="str">
        <x:v>Antifraude / conformité financière</x:v>
      </x:c>
      <x:c r="I70" s="10" t="str">
        <x:v>P2</x:v>
      </x:c>
      <x:c r="J70" s="10" t="str">
        <x:v>Collecté dans la simulation</x:v>
      </x:c>
      <x:c r="K70" s="10" t="str">
        <x:v>Contenu normalisé ou métadonnées selon le mode prévu</x:v>
      </x:c>
      <x:c r="L70" s="10" t="str">
        <x:v>SYNTHETIQUE</x:v>
      </x:c>
    </x:row>
    <x:row r="71" ht="38" customHeight="1">
      <x:c r="A71" s="11" t="str">
        <x:v>SRC-066</x:v>
      </x:c>
      <x:c r="B71" s="11" t="str">
        <x:v>Fraude et sécurité financière</x:v>
      </x:c>
      <x:c r="C71" s="11" t="str">
        <x:v>KYC, vigilance et filtrage</x:v>
      </x:c>
      <x:c r="D71" s="11" t="str">
        <x:v>D — Document ciblé</x:v>
      </x:c>
      <x:c r="E71" s="11" t="str">
        <x:v>01_sources_collectees/SRC-066.csv</x:v>
      </x:c>
      <x:c r="F71" s="11" t="n">
        <x:v>3</x:v>
      </x:c>
      <x:c r="G71" s="13" t="n">
        <x:v>46285</x:v>
      </x:c>
      <x:c r="H71" s="11" t="str">
        <x:v>Antifraude / conformité financière</x:v>
      </x:c>
      <x:c r="I71" s="11" t="str">
        <x:v>P1</x:v>
      </x:c>
      <x:c r="J71" s="11" t="str">
        <x:v>Collecté dans la simulation</x:v>
      </x:c>
      <x:c r="K71" s="11" t="str">
        <x:v>Contenu normalisé ou métadonnées selon le mode prévu</x:v>
      </x:c>
      <x:c r="L71" s="11" t="str">
        <x:v>SYNTHETIQUE</x:v>
      </x:c>
    </x:row>
    <x:row r="72" ht="38" customHeight="1">
      <x:c r="A72" s="10" t="str">
        <x:v>SRC-067</x:v>
      </x:c>
      <x:c r="B72" s="10" t="str">
        <x:v>Fraude et sécurité financière</x:v>
      </x:c>
      <x:c r="C72" s="10" t="str">
        <x:v>Signalements et déclarations confidentielles</x:v>
      </x:c>
      <x:c r="D72" s="10" t="str">
        <x:v>A — Agrégats</x:v>
      </x:c>
      <x:c r="E72" s="10" t="str">
        <x:v>01_sources_collectees/SRC-067.csv</x:v>
      </x:c>
      <x:c r="F72" s="10" t="n">
        <x:v>3</x:v>
      </x:c>
      <x:c r="G72" s="12" t="n">
        <x:v>46285</x:v>
      </x:c>
      <x:c r="H72" s="10" t="str">
        <x:v>Antifraude / conformité financière</x:v>
      </x:c>
      <x:c r="I72" s="10" t="str">
        <x:v>P2</x:v>
      </x:c>
      <x:c r="J72" s="10" t="str">
        <x:v>Collecté dans la simulation</x:v>
      </x:c>
      <x:c r="K72" s="10" t="str">
        <x:v>Contenu normalisé ou métadonnées selon le mode prévu</x:v>
      </x:c>
      <x:c r="L72" s="10" t="str">
        <x:v>SYNTHETIQUE</x:v>
      </x:c>
    </x:row>
    <x:row r="73" ht="38" customHeight="1">
      <x:c r="A73" s="11" t="str">
        <x:v>SRC-068</x:v>
      </x:c>
      <x:c r="B73" s="11" t="str">
        <x:v>Relation client et réclamations</x:v>
      </x:c>
      <x:c r="C73" s="11" t="str">
        <x:v>Bases de connaissances et scripts</x:v>
      </x:c>
      <x:c r="D73" s="11" t="str">
        <x:v>D — Document ciblé</x:v>
      </x:c>
      <x:c r="E73" s="11" t="str">
        <x:v>01_sources_collectees/SRC-068.csv</x:v>
      </x:c>
      <x:c r="F73" s="11" t="n">
        <x:v>3</x:v>
      </x:c>
      <x:c r="G73" s="13" t="n">
        <x:v>46285</x:v>
      </x:c>
      <x:c r="H73" s="11" t="str">
        <x:v>Relation client / qualité</x:v>
      </x:c>
      <x:c r="I73" s="11" t="str">
        <x:v>P0</x:v>
      </x:c>
      <x:c r="J73" s="11" t="str">
        <x:v>Collecté dans la simulation</x:v>
      </x:c>
      <x:c r="K73" s="11" t="str">
        <x:v>Contenu normalisé ou métadonnées selon le mode prévu</x:v>
      </x:c>
      <x:c r="L73" s="11" t="str">
        <x:v>SYNTHETIQUE</x:v>
      </x:c>
    </x:row>
    <x:row r="74" ht="38" customHeight="1">
      <x:c r="A74" s="10" t="str">
        <x:v>SRC-069</x:v>
      </x:c>
      <x:c r="B74" s="10" t="str">
        <x:v>Relation client et réclamations</x:v>
      </x:c>
      <x:c r="C74" s="10" t="str">
        <x:v>Motifs de contact et volumes</x:v>
      </x:c>
      <x:c r="D74" s="10" t="str">
        <x:v>A — Agrégats</x:v>
      </x:c>
      <x:c r="E74" s="10" t="str">
        <x:v>01_sources_collectees/SRC-069.csv</x:v>
      </x:c>
      <x:c r="F74" s="10" t="n">
        <x:v>3</x:v>
      </x:c>
      <x:c r="G74" s="12" t="n">
        <x:v>46285</x:v>
      </x:c>
      <x:c r="H74" s="10" t="str">
        <x:v>Relation client / qualité</x:v>
      </x:c>
      <x:c r="I74" s="10" t="str">
        <x:v>P0</x:v>
      </x:c>
      <x:c r="J74" s="10" t="str">
        <x:v>Collecté dans la simulation</x:v>
      </x:c>
      <x:c r="K74" s="10" t="str">
        <x:v>Contenu normalisé ou métadonnées selon le mode prévu</x:v>
      </x:c>
      <x:c r="L74" s="10" t="str">
        <x:v>SYNTHETIQUE</x:v>
      </x:c>
    </x:row>
    <x:row r="75" ht="38" customHeight="1">
      <x:c r="A75" s="11" t="str">
        <x:v>SRC-070</x:v>
      </x:c>
      <x:c r="B75" s="11" t="str">
        <x:v>Relation client et réclamations</x:v>
      </x:c>
      <x:c r="C75" s="11" t="str">
        <x:v>Échantillons d'échanges clients</x:v>
      </x:c>
      <x:c r="D75" s="11" t="str">
        <x:v>E — Échantillon</x:v>
      </x:c>
      <x:c r="E75" s="11" t="str">
        <x:v>01_sources_collectees/SRC-070.csv</x:v>
      </x:c>
      <x:c r="F75" s="11" t="n">
        <x:v>3</x:v>
      </x:c>
      <x:c r="G75" s="13" t="n">
        <x:v>46285</x:v>
      </x:c>
      <x:c r="H75" s="11" t="str">
        <x:v>Relation client / qualité</x:v>
      </x:c>
      <x:c r="I75" s="11" t="str">
        <x:v>P1</x:v>
      </x:c>
      <x:c r="J75" s="11" t="str">
        <x:v>Collecté dans la simulation</x:v>
      </x:c>
      <x:c r="K75" s="11" t="str">
        <x:v>Contenu normalisé ou métadonnées selon le mode prévu</x:v>
      </x:c>
      <x:c r="L75" s="11" t="str">
        <x:v>SYNTHETIQUE</x:v>
      </x:c>
    </x:row>
    <x:row r="76" ht="38" customHeight="1">
      <x:c r="A76" s="10" t="str">
        <x:v>SRC-071</x:v>
      </x:c>
      <x:c r="B76" s="10" t="str">
        <x:v>Relation client et réclamations</x:v>
      </x:c>
      <x:c r="C76" s="10" t="str">
        <x:v>Enregistrements d'appels</x:v>
      </x:c>
      <x:c r="D76" s="10" t="str">
        <x:v>M — Métadonnées</x:v>
      </x:c>
      <x:c r="E76" s="10" t="str">
        <x:v>01_sources_collectees/SRC-071.csv</x:v>
      </x:c>
      <x:c r="F76" s="10" t="n">
        <x:v>3</x:v>
      </x:c>
      <x:c r="G76" s="12" t="n">
        <x:v>46285</x:v>
      </x:c>
      <x:c r="H76" s="10" t="str">
        <x:v>Relation client / qualité</x:v>
      </x:c>
      <x:c r="I76" s="10" t="str">
        <x:v>P2</x:v>
      </x:c>
      <x:c r="J76" s="10" t="str">
        <x:v>Collecté dans la simulation</x:v>
      </x:c>
      <x:c r="K76" s="10" t="str">
        <x:v>Contenu normalisé ou métadonnées selon le mode prévu</x:v>
      </x:c>
      <x:c r="L76" s="10" t="str">
        <x:v>SYNTHETIQUE</x:v>
      </x:c>
    </x:row>
    <x:row r="77" ht="38" customHeight="1">
      <x:c r="A77" s="11" t="str">
        <x:v>SRC-072</x:v>
      </x:c>
      <x:c r="B77" s="11" t="str">
        <x:v>Relation client et réclamations</x:v>
      </x:c>
      <x:c r="C77" s="11" t="str">
        <x:v>Réclamations et médiation</x:v>
      </x:c>
      <x:c r="D77" s="11" t="str">
        <x:v>A — Agrégats</x:v>
      </x:c>
      <x:c r="E77" s="11" t="str">
        <x:v>01_sources_collectees/SRC-072.csv</x:v>
      </x:c>
      <x:c r="F77" s="11" t="n">
        <x:v>3</x:v>
      </x:c>
      <x:c r="G77" s="13" t="n">
        <x:v>46285</x:v>
      </x:c>
      <x:c r="H77" s="11" t="str">
        <x:v>Relation client / qualité</x:v>
      </x:c>
      <x:c r="I77" s="11" t="str">
        <x:v>P1</x:v>
      </x:c>
      <x:c r="J77" s="11" t="str">
        <x:v>Collecté dans la simulation</x:v>
      </x:c>
      <x:c r="K77" s="11" t="str">
        <x:v>Contenu normalisé ou métadonnées selon le mode prévu</x:v>
      </x:c>
      <x:c r="L77" s="11" t="str">
        <x:v>SYNTHETIQUE</x:v>
      </x:c>
    </x:row>
    <x:row r="78" ht="38" customHeight="1">
      <x:c r="A78" s="10" t="str">
        <x:v>SRC-073</x:v>
      </x:c>
      <x:c r="B78" s="10" t="str">
        <x:v>Relation client et réclamations</x:v>
      </x:c>
      <x:c r="C78" s="10" t="str">
        <x:v>Parcours numériques et satisfaction</x:v>
      </x:c>
      <x:c r="D78" s="10" t="str">
        <x:v>A — Agrégats</x:v>
      </x:c>
      <x:c r="E78" s="10" t="str">
        <x:v>01_sources_collectees/SRC-073.csv</x:v>
      </x:c>
      <x:c r="F78" s="10" t="n">
        <x:v>3</x:v>
      </x:c>
      <x:c r="G78" s="12" t="n">
        <x:v>46285</x:v>
      </x:c>
      <x:c r="H78" s="10" t="str">
        <x:v>Relation client / qualité</x:v>
      </x:c>
      <x:c r="I78" s="10" t="str">
        <x:v>P1</x:v>
      </x:c>
      <x:c r="J78" s="10" t="str">
        <x:v>Collecté dans la simulation</x:v>
      </x:c>
      <x:c r="K78" s="10" t="str">
        <x:v>Contenu normalisé ou métadonnées selon le mode prévu</x:v>
      </x:c>
      <x:c r="L78" s="10" t="str">
        <x:v>SYNTHETIQUE</x:v>
      </x:c>
    </x:row>
    <x:row r="79" ht="38" customHeight="1">
      <x:c r="A79" s="11" t="str">
        <x:v>SRC-074</x:v>
      </x:c>
      <x:c r="B79" s="11" t="str">
        <x:v>Finance, achats et coût complet</x:v>
      </x:c>
      <x:c r="C79" s="11" t="str">
        <x:v>Contrats logiciels et commandes</x:v>
      </x:c>
      <x:c r="D79" s="11" t="str">
        <x:v>D — Document ciblé</x:v>
      </x:c>
      <x:c r="E79" s="11" t="str">
        <x:v>01_sources_collectees/SRC-074.csv</x:v>
      </x:c>
      <x:c r="F79" s="11" t="n">
        <x:v>3</x:v>
      </x:c>
      <x:c r="G79" s="13" t="n">
        <x:v>46285</x:v>
      </x:c>
      <x:c r="H79" s="11" t="str">
        <x:v>Finance / achats / FinOps</x:v>
      </x:c>
      <x:c r="I79" s="11" t="str">
        <x:v>P0</x:v>
      </x:c>
      <x:c r="J79" s="11" t="str">
        <x:v>Collecté dans la simulation</x:v>
      </x:c>
      <x:c r="K79" s="11" t="str">
        <x:v>Contenu normalisé ou métadonnées selon le mode prévu</x:v>
      </x:c>
      <x:c r="L79" s="11" t="str">
        <x:v>SYNTHETIQUE</x:v>
      </x:c>
    </x:row>
    <x:row r="80" ht="38" customHeight="1">
      <x:c r="A80" s="10" t="str">
        <x:v>SRC-075</x:v>
      </x:c>
      <x:c r="B80" s="10" t="str">
        <x:v>Finance, achats et coût complet</x:v>
      </x:c>
      <x:c r="C80" s="10" t="str">
        <x:v>Factures, abonnements et notes de frais</x:v>
      </x:c>
      <x:c r="D80" s="10" t="str">
        <x:v>A — Agrégats</x:v>
      </x:c>
      <x:c r="E80" s="10" t="str">
        <x:v>01_sources_collectees/SRC-075.csv</x:v>
      </x:c>
      <x:c r="F80" s="10" t="n">
        <x:v>3</x:v>
      </x:c>
      <x:c r="G80" s="12" t="n">
        <x:v>46285</x:v>
      </x:c>
      <x:c r="H80" s="10" t="str">
        <x:v>Finance / achats / FinOps</x:v>
      </x:c>
      <x:c r="I80" s="10" t="str">
        <x:v>P0</x:v>
      </x:c>
      <x:c r="J80" s="10" t="str">
        <x:v>Collecté dans la simulation</x:v>
      </x:c>
      <x:c r="K80" s="10" t="str">
        <x:v>Contenu normalisé ou métadonnées selon le mode prévu</x:v>
      </x:c>
      <x:c r="L80" s="10" t="str">
        <x:v>SYNTHETIQUE</x:v>
      </x:c>
    </x:row>
    <x:row r="81" ht="38" customHeight="1">
      <x:c r="A81" s="11" t="str">
        <x:v>SRC-076</x:v>
      </x:c>
      <x:c r="B81" s="11" t="str">
        <x:v>Finance, achats et coût complet</x:v>
      </x:c>
      <x:c r="C81" s="11" t="str">
        <x:v>Consommations cloud et API IA</x:v>
      </x:c>
      <x:c r="D81" s="11" t="str">
        <x:v>A — Agrégats</x:v>
      </x:c>
      <x:c r="E81" s="11" t="str">
        <x:v>01_sources_collectees/SRC-076.csv</x:v>
      </x:c>
      <x:c r="F81" s="11" t="n">
        <x:v>3</x:v>
      </x:c>
      <x:c r="G81" s="13" t="n">
        <x:v>46285</x:v>
      </x:c>
      <x:c r="H81" s="11" t="str">
        <x:v>Finance / achats / FinOps</x:v>
      </x:c>
      <x:c r="I81" s="11" t="str">
        <x:v>P0</x:v>
      </x:c>
      <x:c r="J81" s="11" t="str">
        <x:v>Collecté dans la simulation</x:v>
      </x:c>
      <x:c r="K81" s="11" t="str">
        <x:v>Contenu normalisé ou métadonnées selon le mode prévu</x:v>
      </x:c>
      <x:c r="L81" s="11" t="str">
        <x:v>SYNTHETIQUE</x:v>
      </x:c>
    </x:row>
    <x:row r="82" ht="38" customHeight="1">
      <x:c r="A82" s="10" t="str">
        <x:v>SRC-077</x:v>
      </x:c>
      <x:c r="B82" s="10" t="str">
        <x:v>Finance, achats et coût complet</x:v>
      </x:c>
      <x:c r="C82" s="10" t="str">
        <x:v>Budgets projets et coûts d'intégration</x:v>
      </x:c>
      <x:c r="D82" s="10" t="str">
        <x:v>A — Agrégats</x:v>
      </x:c>
      <x:c r="E82" s="10" t="str">
        <x:v>01_sources_collectees/SRC-077.csv</x:v>
      </x:c>
      <x:c r="F82" s="10" t="n">
        <x:v>3</x:v>
      </x:c>
      <x:c r="G82" s="12" t="n">
        <x:v>46285</x:v>
      </x:c>
      <x:c r="H82" s="10" t="str">
        <x:v>Finance / achats / FinOps</x:v>
      </x:c>
      <x:c r="I82" s="10" t="str">
        <x:v>P1</x:v>
      </x:c>
      <x:c r="J82" s="10" t="str">
        <x:v>Collecté dans la simulation</x:v>
      </x:c>
      <x:c r="K82" s="10" t="str">
        <x:v>Contenu normalisé ou métadonnées selon le mode prévu</x:v>
      </x:c>
      <x:c r="L82" s="10" t="str">
        <x:v>SYNTHETIQUE</x:v>
      </x:c>
    </x:row>
    <x:row r="83" ht="38" customHeight="1">
      <x:c r="A83" s="11" t="str">
        <x:v>SRC-078</x:v>
      </x:c>
      <x:c r="B83" s="11" t="str">
        <x:v>Finance, achats et coût complet</x:v>
      </x:c>
      <x:c r="C83" s="11" t="str">
        <x:v>Charges de contrôle, formation et changement</x:v>
      </x:c>
      <x:c r="D83" s="11" t="str">
        <x:v>A — Agrégats</x:v>
      </x:c>
      <x:c r="E83" s="11" t="str">
        <x:v>01_sources_collectees/SRC-078.csv</x:v>
      </x:c>
      <x:c r="F83" s="11" t="n">
        <x:v>3</x:v>
      </x:c>
      <x:c r="G83" s="13" t="n">
        <x:v>46285</x:v>
      </x:c>
      <x:c r="H83" s="11" t="str">
        <x:v>Finance / achats / FinOps</x:v>
      </x:c>
      <x:c r="I83" s="11" t="str">
        <x:v>P1</x:v>
      </x:c>
      <x:c r="J83" s="11" t="str">
        <x:v>Collecté dans la simulation</x:v>
      </x:c>
      <x:c r="K83" s="11" t="str">
        <x:v>Contenu normalisé ou métadonnées selon le mode prévu</x:v>
      </x:c>
      <x:c r="L83" s="11" t="str">
        <x:v>SYNTHETIQUE</x:v>
      </x:c>
    </x:row>
    <x:row r="84" ht="38" customHeight="1">
      <x:c r="A84" s="10" t="str">
        <x:v>SRC-079</x:v>
      </x:c>
      <x:c r="B84" s="10" t="str">
        <x:v>Finance, achats et coût complet</x:v>
      </x:c>
      <x:c r="C84" s="10" t="str">
        <x:v>Bénéfices réalisés et méthode d'attribution</x:v>
      </x:c>
      <x:c r="D84" s="10" t="str">
        <x:v>D — Document ciblé</x:v>
      </x:c>
      <x:c r="E84" s="10" t="str">
        <x:v>01_sources_collectees/SRC-079.csv</x:v>
      </x:c>
      <x:c r="F84" s="10" t="n">
        <x:v>3</x:v>
      </x:c>
      <x:c r="G84" s="12" t="n">
        <x:v>46285</x:v>
      </x:c>
      <x:c r="H84" s="10" t="str">
        <x:v>Finance / achats / FinOps</x:v>
      </x:c>
      <x:c r="I84" s="10" t="str">
        <x:v>P0</x:v>
      </x:c>
      <x:c r="J84" s="10" t="str">
        <x:v>Collecté dans la simulation</x:v>
      </x:c>
      <x:c r="K84" s="10" t="str">
        <x:v>Contenu normalisé ou métadonnées selon le mode prévu</x:v>
      </x:c>
      <x:c r="L84" s="10" t="str">
        <x:v>SYNTHETIQUE</x:v>
      </x:c>
    </x:row>
    <x:row r="85" ht="28" customHeight="1">
      <x:c r="A85" s="11" t="str">
        <x:v>SRC-080</x:v>
      </x:c>
      <x:c r="B85" s="11" t="str">
        <x:v>RH, compétences et adoption</x:v>
      </x:c>
      <x:c r="C85" s="11" t="str">
        <x:v>Compétences et effectifs par rôle</x:v>
      </x:c>
      <x:c r="D85" s="11" t="str">
        <x:v>A — Agrégats</x:v>
      </x:c>
      <x:c r="E85" s="11" t="str">
        <x:v>01_sources_collectees/SRC-080.csv</x:v>
      </x:c>
      <x:c r="F85" s="11" t="n">
        <x:v>3</x:v>
      </x:c>
      <x:c r="G85" s="13" t="n">
        <x:v>46285</x:v>
      </x:c>
      <x:c r="H85" s="11" t="str">
        <x:v>RH / formation / transformation</x:v>
      </x:c>
      <x:c r="I85" s="11" t="str">
        <x:v>P0</x:v>
      </x:c>
      <x:c r="J85" s="11" t="str">
        <x:v>Collecté dans la simulation</x:v>
      </x:c>
      <x:c r="K85" s="11" t="str">
        <x:v>Contenu normalisé ou métadonnées selon le mode prévu</x:v>
      </x:c>
      <x:c r="L85" s="11" t="str">
        <x:v>SYNTHETIQUE</x:v>
      </x:c>
    </x:row>
    <x:row r="86" ht="38" customHeight="1">
      <x:c r="A86" s="10" t="str">
        <x:v>SRC-081</x:v>
      </x:c>
      <x:c r="B86" s="10" t="str">
        <x:v>RH, compétences et adoption</x:v>
      </x:c>
      <x:c r="C86" s="10" t="str">
        <x:v>Catalogue et participation aux formations</x:v>
      </x:c>
      <x:c r="D86" s="10" t="str">
        <x:v>A — Agrégats</x:v>
      </x:c>
      <x:c r="E86" s="10" t="str">
        <x:v>01_sources_collectees/SRC-081.csv</x:v>
      </x:c>
      <x:c r="F86" s="10" t="n">
        <x:v>3</x:v>
      </x:c>
      <x:c r="G86" s="12" t="n">
        <x:v>46285</x:v>
      </x:c>
      <x:c r="H86" s="10" t="str">
        <x:v>RH / formation / transformation</x:v>
      </x:c>
      <x:c r="I86" s="10" t="str">
        <x:v>P1</x:v>
      </x:c>
      <x:c r="J86" s="10" t="str">
        <x:v>Collecté dans la simulation</x:v>
      </x:c>
      <x:c r="K86" s="10" t="str">
        <x:v>Contenu normalisé ou métadonnées selon le mode prévu</x:v>
      </x:c>
      <x:c r="L86" s="10" t="str">
        <x:v>SYNTHETIQUE</x:v>
      </x:c>
    </x:row>
    <x:row r="87" ht="28" customHeight="1">
      <x:c r="A87" s="11" t="str">
        <x:v>SRC-082</x:v>
      </x:c>
      <x:c r="B87" s="11" t="str">
        <x:v>RH, compétences et adoption</x:v>
      </x:c>
      <x:c r="C87" s="11" t="str">
        <x:v>Enquêtes d'adoption et de maturité IA</x:v>
      </x:c>
      <x:c r="D87" s="11" t="str">
        <x:v>A — Agrégats</x:v>
      </x:c>
      <x:c r="E87" s="11" t="str">
        <x:v>01_sources_collectees/SRC-082.csv</x:v>
      </x:c>
      <x:c r="F87" s="11" t="n">
        <x:v>3</x:v>
      </x:c>
      <x:c r="G87" s="13" t="n">
        <x:v>46285</x:v>
      </x:c>
      <x:c r="H87" s="11" t="str">
        <x:v>RH / formation / transformation</x:v>
      </x:c>
      <x:c r="I87" s="11" t="str">
        <x:v>P0</x:v>
      </x:c>
      <x:c r="J87" s="11" t="str">
        <x:v>Collecté dans la simulation</x:v>
      </x:c>
      <x:c r="K87" s="11" t="str">
        <x:v>Contenu normalisé ou métadonnées selon le mode prévu</x:v>
      </x:c>
      <x:c r="L87" s="11" t="str">
        <x:v>SYNTHETIQUE</x:v>
      </x:c>
    </x:row>
    <x:row r="88" ht="28" customHeight="1">
      <x:c r="A88" s="10" t="str">
        <x:v>SRC-083</x:v>
      </x:c>
      <x:c r="B88" s="10" t="str">
        <x:v>RH, compétences et adoption</x:v>
      </x:c>
      <x:c r="C88" s="10" t="str">
        <x:v>Procédures recrutement et gestion RH</x:v>
      </x:c>
      <x:c r="D88" s="10" t="str">
        <x:v>D — Document ciblé</x:v>
      </x:c>
      <x:c r="E88" s="10" t="str">
        <x:v>01_sources_collectees/SRC-083.csv</x:v>
      </x:c>
      <x:c r="F88" s="10" t="n">
        <x:v>3</x:v>
      </x:c>
      <x:c r="G88" s="12" t="n">
        <x:v>46285</x:v>
      </x:c>
      <x:c r="H88" s="10" t="str">
        <x:v>RH / formation / transformation</x:v>
      </x:c>
      <x:c r="I88" s="10" t="str">
        <x:v>P1</x:v>
      </x:c>
      <x:c r="J88" s="10" t="str">
        <x:v>Collecté dans la simulation</x:v>
      </x:c>
      <x:c r="K88" s="10" t="str">
        <x:v>Contenu normalisé ou métadonnées selon le mode prévu</x:v>
      </x:c>
      <x:c r="L88" s="10" t="str">
        <x:v>SYNTHETIQUE</x:v>
      </x:c>
    </x:row>
    <x:row r="89" ht="38" customHeight="1">
      <x:c r="A89" s="11" t="str">
        <x:v>SRC-084</x:v>
      </x:c>
      <x:c r="B89" s="11" t="str">
        <x:v>RH, compétences et adoption</x:v>
      </x:c>
      <x:c r="C89" s="11" t="str">
        <x:v>Tests de compétences et mises en situation</x:v>
      </x:c>
      <x:c r="D89" s="11" t="str">
        <x:v>A — Agrégats</x:v>
      </x:c>
      <x:c r="E89" s="11" t="str">
        <x:v>01_sources_collectees/SRC-084.csv</x:v>
      </x:c>
      <x:c r="F89" s="11" t="n">
        <x:v>3</x:v>
      </x:c>
      <x:c r="G89" s="13" t="n">
        <x:v>46285</x:v>
      </x:c>
      <x:c r="H89" s="11" t="str">
        <x:v>RH / formation / transformation</x:v>
      </x:c>
      <x:c r="I89" s="11" t="str">
        <x:v>P1</x:v>
      </x:c>
      <x:c r="J89" s="11" t="str">
        <x:v>Collecté dans la simulation</x:v>
      </x:c>
      <x:c r="K89" s="11" t="str">
        <x:v>Contenu normalisé ou métadonnées selon le mode prévu</x:v>
      </x:c>
      <x:c r="L89" s="11" t="str">
        <x:v>SYNTHETIQUE</x:v>
      </x:c>
    </x:row>
    <x:row r="90" ht="38" customHeight="1">
      <x:c r="A90" s="10" t="str">
        <x:v>SRC-085</x:v>
      </x:c>
      <x:c r="B90" s="10" t="str">
        <x:v>Applications, architecture et exploitation</x:v>
      </x:c>
      <x:c r="C90" s="10" t="str">
        <x:v>Inventaire applicatif et CMDB</x:v>
      </x:c>
      <x:c r="D90" s="10" t="str">
        <x:v>M — Métadonnées</x:v>
      </x:c>
      <x:c r="E90" s="10" t="str">
        <x:v>01_sources_collectees/SRC-085.csv</x:v>
      </x:c>
      <x:c r="F90" s="10" t="n">
        <x:v>3</x:v>
      </x:c>
      <x:c r="G90" s="12" t="n">
        <x:v>46285</x:v>
      </x:c>
      <x:c r="H90" s="10" t="str">
        <x:v>DSI / architecture / exploitation</x:v>
      </x:c>
      <x:c r="I90" s="10" t="str">
        <x:v>P0</x:v>
      </x:c>
      <x:c r="J90" s="10" t="str">
        <x:v>Collecté dans la simulation</x:v>
      </x:c>
      <x:c r="K90" s="10" t="str">
        <x:v>Contenu normalisé ou métadonnées selon le mode prévu</x:v>
      </x:c>
      <x:c r="L90" s="10" t="str">
        <x:v>SYNTHETIQUE</x:v>
      </x:c>
    </x:row>
    <x:row r="91" ht="38" customHeight="1">
      <x:c r="A91" s="11" t="str">
        <x:v>SRC-086</x:v>
      </x:c>
      <x:c r="B91" s="11" t="str">
        <x:v>Applications, architecture et exploitation</x:v>
      </x:c>
      <x:c r="C91" s="11" t="str">
        <x:v>Catalogues API, interfaces et flux</x:v>
      </x:c>
      <x:c r="D91" s="11" t="str">
        <x:v>M — Métadonnées</x:v>
      </x:c>
      <x:c r="E91" s="11" t="str">
        <x:v>01_sources_collectees/SRC-086.csv</x:v>
      </x:c>
      <x:c r="F91" s="11" t="n">
        <x:v>3</x:v>
      </x:c>
      <x:c r="G91" s="13" t="n">
        <x:v>46285</x:v>
      </x:c>
      <x:c r="H91" s="11" t="str">
        <x:v>DSI / architecture / exploitation</x:v>
      </x:c>
      <x:c r="I91" s="11" t="str">
        <x:v>P0</x:v>
      </x:c>
      <x:c r="J91" s="11" t="str">
        <x:v>Collecté dans la simulation</x:v>
      </x:c>
      <x:c r="K91" s="11" t="str">
        <x:v>Contenu normalisé ou métadonnées selon le mode prévu</x:v>
      </x:c>
      <x:c r="L91" s="11" t="str">
        <x:v>SYNTHETIQUE</x:v>
      </x:c>
    </x:row>
    <x:row r="92" ht="38" customHeight="1">
      <x:c r="A92" s="10" t="str">
        <x:v>SRC-087</x:v>
      </x:c>
      <x:c r="B92" s="10" t="str">
        <x:v>Applications, architecture et exploitation</x:v>
      </x:c>
      <x:c r="C92" s="10" t="str">
        <x:v>Habilitations et comptes de service</x:v>
      </x:c>
      <x:c r="D92" s="10" t="str">
        <x:v>M — Métadonnées</x:v>
      </x:c>
      <x:c r="E92" s="10" t="str">
        <x:v>01_sources_collectees/SRC-087.csv</x:v>
      </x:c>
      <x:c r="F92" s="10" t="n">
        <x:v>3</x:v>
      </x:c>
      <x:c r="G92" s="12" t="n">
        <x:v>46285</x:v>
      </x:c>
      <x:c r="H92" s="10" t="str">
        <x:v>DSI / architecture / exploitation</x:v>
      </x:c>
      <x:c r="I92" s="10" t="str">
        <x:v>P0</x:v>
      </x:c>
      <x:c r="J92" s="10" t="str">
        <x:v>Collecté dans la simulation</x:v>
      </x:c>
      <x:c r="K92" s="10" t="str">
        <x:v>Contenu normalisé ou métadonnées selon le mode prévu</x:v>
      </x:c>
      <x:c r="L92" s="10" t="str">
        <x:v>SYNTHETIQUE</x:v>
      </x:c>
    </x:row>
    <x:row r="93" ht="38" customHeight="1">
      <x:c r="A93" s="11" t="str">
        <x:v>SRC-088</x:v>
      </x:c>
      <x:c r="B93" s="11" t="str">
        <x:v>Applications, architecture et exploitation</x:v>
      </x:c>
      <x:c r="C93" s="11" t="str">
        <x:v>Tickets support, incidents et changements</x:v>
      </x:c>
      <x:c r="D93" s="11" t="str">
        <x:v>A — Agrégats</x:v>
      </x:c>
      <x:c r="E93" s="11" t="str">
        <x:v>01_sources_collectees/SRC-088.csv</x:v>
      </x:c>
      <x:c r="F93" s="11" t="n">
        <x:v>3</x:v>
      </x:c>
      <x:c r="G93" s="13" t="n">
        <x:v>46285</x:v>
      </x:c>
      <x:c r="H93" s="11" t="str">
        <x:v>DSI / architecture / exploitation</x:v>
      </x:c>
      <x:c r="I93" s="11" t="str">
        <x:v>P1</x:v>
      </x:c>
      <x:c r="J93" s="11" t="str">
        <x:v>Collecté dans la simulation</x:v>
      </x:c>
      <x:c r="K93" s="11" t="str">
        <x:v>Contenu normalisé ou métadonnées selon le mode prévu</x:v>
      </x:c>
      <x:c r="L93" s="11" t="str">
        <x:v>SYNTHETIQUE</x:v>
      </x:c>
    </x:row>
    <x:row r="94" ht="38" customHeight="1">
      <x:c r="A94" s="10" t="str">
        <x:v>SRC-089</x:v>
      </x:c>
      <x:c r="B94" s="10" t="str">
        <x:v>Applications, architecture et exploitation</x:v>
      </x:c>
      <x:c r="C94" s="10" t="str">
        <x:v>RPA, scripts, macros et automatisations</x:v>
      </x:c>
      <x:c r="D94" s="10" t="str">
        <x:v>M — Métadonnées</x:v>
      </x:c>
      <x:c r="E94" s="10" t="str">
        <x:v>01_sources_collectees/SRC-089.csv</x:v>
      </x:c>
      <x:c r="F94" s="10" t="n">
        <x:v>3</x:v>
      </x:c>
      <x:c r="G94" s="12" t="n">
        <x:v>46285</x:v>
      </x:c>
      <x:c r="H94" s="10" t="str">
        <x:v>DSI / architecture / exploitation</x:v>
      </x:c>
      <x:c r="I94" s="10" t="str">
        <x:v>P0</x:v>
      </x:c>
      <x:c r="J94" s="10" t="str">
        <x:v>Collecté dans la simulation</x:v>
      </x:c>
      <x:c r="K94" s="10" t="str">
        <x:v>Contenu normalisé ou métadonnées selon le mode prévu</x:v>
      </x:c>
      <x:c r="L94" s="10" t="str">
        <x:v>SYNTHETIQUE</x:v>
      </x:c>
    </x:row>
    <x:row r="95" ht="38" customHeight="1">
      <x:c r="A95" s="11" t="str">
        <x:v>SRC-090</x:v>
      </x:c>
      <x:c r="B95" s="11" t="str">
        <x:v>Applications, architecture et exploitation</x:v>
      </x:c>
      <x:c r="C95" s="11" t="str">
        <x:v>Documentation développement et livraison</x:v>
      </x:c>
      <x:c r="D95" s="11" t="str">
        <x:v>M — Métadonnées</x:v>
      </x:c>
      <x:c r="E95" s="11" t="str">
        <x:v>01_sources_collectees/SRC-090.csv</x:v>
      </x:c>
      <x:c r="F95" s="11" t="n">
        <x:v>3</x:v>
      </x:c>
      <x:c r="G95" s="13" t="n">
        <x:v>46285</x:v>
      </x:c>
      <x:c r="H95" s="11" t="str">
        <x:v>DSI / architecture / exploitation</x:v>
      </x:c>
      <x:c r="I95" s="11" t="str">
        <x:v>P1</x:v>
      </x:c>
      <x:c r="J95" s="11" t="str">
        <x:v>Collecté dans la simulation</x:v>
      </x:c>
      <x:c r="K95" s="11" t="str">
        <x:v>Contenu normalisé ou métadonnées selon le mode prévu</x:v>
      </x:c>
      <x:c r="L95" s="11" t="str">
        <x:v>SYNTHETIQUE</x:v>
      </x:c>
    </x:row>
    <x:row r="96" ht="38" customHeight="1">
      <x:c r="A96" s="10" t="str">
        <x:v>SRC-091</x:v>
      </x:c>
      <x:c r="B96" s="10" t="str">
        <x:v>Applications, architecture et exploitation</x:v>
      </x:c>
      <x:c r="C96" s="10" t="str">
        <x:v>Capacités, disponibilité et continuité</x:v>
      </x:c>
      <x:c r="D96" s="10" t="str">
        <x:v>A — Agrégats</x:v>
      </x:c>
      <x:c r="E96" s="10" t="str">
        <x:v>01_sources_collectees/SRC-091.csv</x:v>
      </x:c>
      <x:c r="F96" s="10" t="n">
        <x:v>3</x:v>
      </x:c>
      <x:c r="G96" s="12" t="n">
        <x:v>46285</x:v>
      </x:c>
      <x:c r="H96" s="10" t="str">
        <x:v>DSI / architecture / exploitation</x:v>
      </x:c>
      <x:c r="I96" s="10" t="str">
        <x:v>P1</x:v>
      </x:c>
      <x:c r="J96" s="10" t="str">
        <x:v>Collecté dans la simulation</x:v>
      </x:c>
      <x:c r="K96" s="10" t="str">
        <x:v>Contenu normalisé ou métadonnées selon le mode prévu</x:v>
      </x:c>
      <x:c r="L96" s="10" t="str">
        <x:v>SYNTHETIQUE</x:v>
      </x:c>
    </x:row>
    <x:row r="97" ht="38" customHeight="1">
      <x:c r="A97" s="11" t="str">
        <x:v>SRC-092</x:v>
      </x:c>
      <x:c r="B97" s="11" t="str">
        <x:v>Données et patrimoine documentaire</x:v>
      </x:c>
      <x:c r="C97" s="11" t="str">
        <x:v>Catalogue de données et glossaire métier</x:v>
      </x:c>
      <x:c r="D97" s="11" t="str">
        <x:v>M — Métadonnées</x:v>
      </x:c>
      <x:c r="E97" s="11" t="str">
        <x:v>01_sources_collectees/SRC-092.csv</x:v>
      </x:c>
      <x:c r="F97" s="11" t="n">
        <x:v>3</x:v>
      </x:c>
      <x:c r="G97" s="13" t="n">
        <x:v>46285</x:v>
      </x:c>
      <x:c r="H97" s="11" t="str">
        <x:v>CDO / data owners / gestion documentaire</x:v>
      </x:c>
      <x:c r="I97" s="11" t="str">
        <x:v>P0</x:v>
      </x:c>
      <x:c r="J97" s="11" t="str">
        <x:v>Collecté dans la simulation</x:v>
      </x:c>
      <x:c r="K97" s="11" t="str">
        <x:v>Contenu normalisé ou métadonnées selon le mode prévu</x:v>
      </x:c>
      <x:c r="L97" s="11" t="str">
        <x:v>SYNTHETIQUE</x:v>
      </x:c>
    </x:row>
    <x:row r="98" ht="38" customHeight="1">
      <x:c r="A98" s="10" t="str">
        <x:v>SRC-093</x:v>
      </x:c>
      <x:c r="B98" s="10" t="str">
        <x:v>Données et patrimoine documentaire</x:v>
      </x:c>
      <x:c r="C98" s="10" t="str">
        <x:v>Schémas et dictionnaires techniques</x:v>
      </x:c>
      <x:c r="D98" s="10" t="str">
        <x:v>M — Métadonnées</x:v>
      </x:c>
      <x:c r="E98" s="10" t="str">
        <x:v>01_sources_collectees/SRC-093.csv</x:v>
      </x:c>
      <x:c r="F98" s="10" t="n">
        <x:v>3</x:v>
      </x:c>
      <x:c r="G98" s="12" t="n">
        <x:v>46285</x:v>
      </x:c>
      <x:c r="H98" s="10" t="str">
        <x:v>CDO / data owners / gestion documentaire</x:v>
      </x:c>
      <x:c r="I98" s="10" t="str">
        <x:v>P0</x:v>
      </x:c>
      <x:c r="J98" s="10" t="str">
        <x:v>Collecté dans la simulation</x:v>
      </x:c>
      <x:c r="K98" s="10" t="str">
        <x:v>Contenu normalisé ou métadonnées selon le mode prévu</x:v>
      </x:c>
      <x:c r="L98" s="10" t="str">
        <x:v>SYNTHETIQUE</x:v>
      </x:c>
    </x:row>
    <x:row r="99" ht="38" customHeight="1">
      <x:c r="A99" s="11" t="str">
        <x:v>SRC-094</x:v>
      </x:c>
      <x:c r="B99" s="11" t="str">
        <x:v>Données et patrimoine documentaire</x:v>
      </x:c>
      <x:c r="C99" s="11" t="str">
        <x:v>Lineage, pipelines et transformations</x:v>
      </x:c>
      <x:c r="D99" s="11" t="str">
        <x:v>M — Métadonnées</x:v>
      </x:c>
      <x:c r="E99" s="11" t="str">
        <x:v>01_sources_collectees/SRC-094.csv</x:v>
      </x:c>
      <x:c r="F99" s="11" t="n">
        <x:v>3</x:v>
      </x:c>
      <x:c r="G99" s="13" t="n">
        <x:v>46285</x:v>
      </x:c>
      <x:c r="H99" s="11" t="str">
        <x:v>CDO / data owners / gestion documentaire</x:v>
      </x:c>
      <x:c r="I99" s="11" t="str">
        <x:v>P1</x:v>
      </x:c>
      <x:c r="J99" s="11" t="str">
        <x:v>Collecté dans la simulation</x:v>
      </x:c>
      <x:c r="K99" s="11" t="str">
        <x:v>Contenu normalisé ou métadonnées selon le mode prévu</x:v>
      </x:c>
      <x:c r="L99" s="11" t="str">
        <x:v>SYNTHETIQUE</x:v>
      </x:c>
    </x:row>
    <x:row r="100" ht="38" customHeight="1">
      <x:c r="A100" s="10" t="str">
        <x:v>SRC-095</x:v>
      </x:c>
      <x:c r="B100" s="10" t="str">
        <x:v>Données et patrimoine documentaire</x:v>
      </x:c>
      <x:c r="C100" s="10" t="str">
        <x:v>Rapports de qualité et fraîcheur</x:v>
      </x:c>
      <x:c r="D100" s="10" t="str">
        <x:v>A — Agrégats</x:v>
      </x:c>
      <x:c r="E100" s="10" t="str">
        <x:v>01_sources_collectees/SRC-095.csv</x:v>
      </x:c>
      <x:c r="F100" s="10" t="n">
        <x:v>3</x:v>
      </x:c>
      <x:c r="G100" s="12" t="n">
        <x:v>46285</x:v>
      </x:c>
      <x:c r="H100" s="10" t="str">
        <x:v>CDO / data owners / gestion documentaire</x:v>
      </x:c>
      <x:c r="I100" s="10" t="str">
        <x:v>P0</x:v>
      </x:c>
      <x:c r="J100" s="10" t="str">
        <x:v>Collecté dans la simulation</x:v>
      </x:c>
      <x:c r="K100" s="10" t="str">
        <x:v>Contenu normalisé ou métadonnées selon le mode prévu</x:v>
      </x:c>
      <x:c r="L100" s="10" t="str">
        <x:v>SYNTHETIQUE</x:v>
      </x:c>
    </x:row>
    <x:row r="101" ht="38" customHeight="1">
      <x:c r="A101" s="11" t="str">
        <x:v>SRC-096</x:v>
      </x:c>
      <x:c r="B101" s="11" t="str">
        <x:v>Données et patrimoine documentaire</x:v>
      </x:c>
      <x:c r="C101" s="11" t="str">
        <x:v>Inventaires GED et espaces collaboratifs</x:v>
      </x:c>
      <x:c r="D101" s="11" t="str">
        <x:v>M — Métadonnées</x:v>
      </x:c>
      <x:c r="E101" s="11" t="str">
        <x:v>01_sources_collectees/SRC-096.csv</x:v>
      </x:c>
      <x:c r="F101" s="11" t="n">
        <x:v>3</x:v>
      </x:c>
      <x:c r="G101" s="13" t="n">
        <x:v>46285</x:v>
      </x:c>
      <x:c r="H101" s="11" t="str">
        <x:v>CDO / data owners / gestion documentaire</x:v>
      </x:c>
      <x:c r="I101" s="11" t="str">
        <x:v>P0</x:v>
      </x:c>
      <x:c r="J101" s="11" t="str">
        <x:v>Collecté dans la simulation</x:v>
      </x:c>
      <x:c r="K101" s="11" t="str">
        <x:v>Contenu normalisé ou métadonnées selon le mode prévu</x:v>
      </x:c>
      <x:c r="L101" s="11" t="str">
        <x:v>SYNTHETIQUE</x:v>
      </x:c>
    </x:row>
    <x:row r="102" ht="38" customHeight="1">
      <x:c r="A102" s="10" t="str">
        <x:v>SRC-097</x:v>
      </x:c>
      <x:c r="B102" s="10" t="str">
        <x:v>Données et patrimoine documentaire</x:v>
      </x:c>
      <x:c r="C102" s="10" t="str">
        <x:v>Catalogues de données externes</x:v>
      </x:c>
      <x:c r="D102" s="10" t="str">
        <x:v>M — Métadonnées</x:v>
      </x:c>
      <x:c r="E102" s="10" t="str">
        <x:v>01_sources_collectees/SRC-097.csv</x:v>
      </x:c>
      <x:c r="F102" s="10" t="n">
        <x:v>3</x:v>
      </x:c>
      <x:c r="G102" s="12" t="n">
        <x:v>46285</x:v>
      </x:c>
      <x:c r="H102" s="10" t="str">
        <x:v>CDO / data owners / gestion documentaire</x:v>
      </x:c>
      <x:c r="I102" s="10" t="str">
        <x:v>P1</x:v>
      </x:c>
      <x:c r="J102" s="10" t="str">
        <x:v>Collecté dans la simulation</x:v>
      </x:c>
      <x:c r="K102" s="10" t="str">
        <x:v>Contenu normalisé ou métadonnées selon le mode prévu</x:v>
      </x:c>
      <x:c r="L102" s="10" t="str">
        <x:v>SYNTHETIQUE</x:v>
      </x:c>
    </x:row>
    <x:row r="103" ht="38" customHeight="1">
      <x:c r="A103" s="11" t="str">
        <x:v>SRC-098</x:v>
      </x:c>
      <x:c r="B103" s="11" t="str">
        <x:v>IA, agents et usages réels</x:v>
      </x:c>
      <x:c r="C103" s="11" t="str">
        <x:v>Registre des IA, modèles et expérimentations</x:v>
      </x:c>
      <x:c r="D103" s="11" t="str">
        <x:v>M — Métadonnées</x:v>
      </x:c>
      <x:c r="E103" s="11" t="str">
        <x:v>01_sources_collectees/SRC-098.csv</x:v>
      </x:c>
      <x:c r="F103" s="11" t="n">
        <x:v>3</x:v>
      </x:c>
      <x:c r="G103" s="13" t="n">
        <x:v>46285</x:v>
      </x:c>
      <x:c r="H103" s="11" t="str">
        <x:v>Responsables IA / DSI / métiers</x:v>
      </x:c>
      <x:c r="I103" s="11" t="str">
        <x:v>P0</x:v>
      </x:c>
      <x:c r="J103" s="11" t="str">
        <x:v>Collecté dans la simulation</x:v>
      </x:c>
      <x:c r="K103" s="11" t="str">
        <x:v>Contenu normalisé ou métadonnées selon le mode prévu</x:v>
      </x:c>
      <x:c r="L103" s="11" t="str">
        <x:v>SYNTHETIQUE</x:v>
      </x:c>
    </x:row>
    <x:row r="104" ht="28" customHeight="1">
      <x:c r="A104" s="10" t="str">
        <x:v>SRC-099</x:v>
      </x:c>
      <x:c r="B104" s="10" t="str">
        <x:v>IA, agents et usages réels</x:v>
      </x:c>
      <x:c r="C104" s="10" t="str">
        <x:v>Fonctions IA embarquées et activation</x:v>
      </x:c>
      <x:c r="D104" s="10" t="str">
        <x:v>M — Métadonnées</x:v>
      </x:c>
      <x:c r="E104" s="10" t="str">
        <x:v>01_sources_collectees/SRC-099.csv</x:v>
      </x:c>
      <x:c r="F104" s="10" t="n">
        <x:v>3</x:v>
      </x:c>
      <x:c r="G104" s="12" t="n">
        <x:v>46285</x:v>
      </x:c>
      <x:c r="H104" s="10" t="str">
        <x:v>Responsables IA / DSI / métiers</x:v>
      </x:c>
      <x:c r="I104" s="10" t="str">
        <x:v>P0</x:v>
      </x:c>
      <x:c r="J104" s="10" t="str">
        <x:v>Collecté dans la simulation</x:v>
      </x:c>
      <x:c r="K104" s="10" t="str">
        <x:v>Contenu normalisé ou métadonnées selon le mode prévu</x:v>
      </x:c>
      <x:c r="L104" s="10" t="str">
        <x:v>SYNTHETIQUE</x:v>
      </x:c>
    </x:row>
    <x:row r="105" ht="28" customHeight="1">
      <x:c r="A105" s="11" t="str">
        <x:v>SRC-100</x:v>
      </x:c>
      <x:c r="B105" s="11" t="str">
        <x:v>IA, agents et usages réels</x:v>
      </x:c>
      <x:c r="C105" s="11" t="str">
        <x:v>Licences et statistiques d'usage IA</x:v>
      </x:c>
      <x:c r="D105" s="11" t="str">
        <x:v>A — Agrégats</x:v>
      </x:c>
      <x:c r="E105" s="11" t="str">
        <x:v>01_sources_collectees/SRC-100.csv</x:v>
      </x:c>
      <x:c r="F105" s="11" t="n">
        <x:v>3</x:v>
      </x:c>
      <x:c r="G105" s="13" t="n">
        <x:v>46285</x:v>
      </x:c>
      <x:c r="H105" s="11" t="str">
        <x:v>Responsables IA / DSI / métiers</x:v>
      </x:c>
      <x:c r="I105" s="11" t="str">
        <x:v>P0</x:v>
      </x:c>
      <x:c r="J105" s="11" t="str">
        <x:v>Collecté dans la simulation</x:v>
      </x:c>
      <x:c r="K105" s="11" t="str">
        <x:v>Contenu normalisé ou métadonnées selon le mode prévu</x:v>
      </x:c>
      <x:c r="L105" s="11" t="str">
        <x:v>SYNTHETIQUE</x:v>
      </x:c>
    </x:row>
    <x:row r="106" ht="28" customHeight="1">
      <x:c r="A106" s="10" t="str">
        <x:v>SRC-101</x:v>
      </x:c>
      <x:c r="B106" s="10" t="str">
        <x:v>IA, agents et usages réels</x:v>
      </x:c>
      <x:c r="C106" s="10" t="str">
        <x:v>Agents et workflows agentiques</x:v>
      </x:c>
      <x:c r="D106" s="10" t="str">
        <x:v>M — Métadonnées</x:v>
      </x:c>
      <x:c r="E106" s="10" t="str">
        <x:v>01_sources_collectees/SRC-101.csv</x:v>
      </x:c>
      <x:c r="F106" s="10" t="n">
        <x:v>3</x:v>
      </x:c>
      <x:c r="G106" s="12" t="n">
        <x:v>46285</x:v>
      </x:c>
      <x:c r="H106" s="10" t="str">
        <x:v>Responsables IA / DSI / métiers</x:v>
      </x:c>
      <x:c r="I106" s="10" t="str">
        <x:v>P0</x:v>
      </x:c>
      <x:c r="J106" s="10" t="str">
        <x:v>Collecté dans la simulation</x:v>
      </x:c>
      <x:c r="K106" s="10" t="str">
        <x:v>Contenu normalisé ou métadonnées selon le mode prévu</x:v>
      </x:c>
      <x:c r="L106" s="10" t="str">
        <x:v>SYNTHETIQUE</x:v>
      </x:c>
    </x:row>
    <x:row r="107" ht="38" customHeight="1">
      <x:c r="A107" s="11" t="str">
        <x:v>SRC-102</x:v>
      </x:c>
      <x:c r="B107" s="11" t="str">
        <x:v>IA, agents et usages réels</x:v>
      </x:c>
      <x:c r="C107" s="11" t="str">
        <x:v>Prompts, assistants et corpus de recherche</x:v>
      </x:c>
      <x:c r="D107" s="11" t="str">
        <x:v>E — Échantillon</x:v>
      </x:c>
      <x:c r="E107" s="11" t="str">
        <x:v>01_sources_collectees/SRC-102.csv</x:v>
      </x:c>
      <x:c r="F107" s="11" t="n">
        <x:v>3</x:v>
      </x:c>
      <x:c r="G107" s="13" t="n">
        <x:v>46285</x:v>
      </x:c>
      <x:c r="H107" s="11" t="str">
        <x:v>Responsables IA / DSI / métiers</x:v>
      </x:c>
      <x:c r="I107" s="11" t="str">
        <x:v>P1</x:v>
      </x:c>
      <x:c r="J107" s="11" t="str">
        <x:v>Collecté dans la simulation</x:v>
      </x:c>
      <x:c r="K107" s="11" t="str">
        <x:v>Contenu normalisé ou métadonnées selon le mode prévu</x:v>
      </x:c>
      <x:c r="L107" s="11" t="str">
        <x:v>SYNTHETIQUE</x:v>
      </x:c>
    </x:row>
    <x:row r="108" ht="28" customHeight="1">
      <x:c r="A108" s="10" t="str">
        <x:v>SRC-103</x:v>
      </x:c>
      <x:c r="B108" s="10" t="str">
        <x:v>IA, agents et usages réels</x:v>
      </x:c>
      <x:c r="C108" s="10" t="str">
        <x:v>Traces d'exécution et appels d'outils</x:v>
      </x:c>
      <x:c r="D108" s="10" t="str">
        <x:v>L — Événements</x:v>
      </x:c>
      <x:c r="E108" s="10" t="str">
        <x:v>01_sources_collectees/SRC-103.csv</x:v>
      </x:c>
      <x:c r="F108" s="10" t="n">
        <x:v>3</x:v>
      </x:c>
      <x:c r="G108" s="12" t="n">
        <x:v>46285</x:v>
      </x:c>
      <x:c r="H108" s="10" t="str">
        <x:v>Responsables IA / DSI / métiers</x:v>
      </x:c>
      <x:c r="I108" s="10" t="str">
        <x:v>P1</x:v>
      </x:c>
      <x:c r="J108" s="10" t="str">
        <x:v>Collecté dans la simulation</x:v>
      </x:c>
      <x:c r="K108" s="10" t="str">
        <x:v>Contenu normalisé ou métadonnées selon le mode prévu</x:v>
      </x:c>
      <x:c r="L108" s="10" t="str">
        <x:v>SYNTHETIQUE</x:v>
      </x:c>
    </x:row>
    <x:row r="109" ht="28" customHeight="1">
      <x:c r="A109" s="11" t="str">
        <x:v>SRC-104</x:v>
      </x:c>
      <x:c r="B109" s="11" t="str">
        <x:v>IA, agents et usages réels</x:v>
      </x:c>
      <x:c r="C109" s="11" t="str">
        <x:v>Évaluations et incidents IA</x:v>
      </x:c>
      <x:c r="D109" s="11" t="str">
        <x:v>A — Agrégats</x:v>
      </x:c>
      <x:c r="E109" s="11" t="str">
        <x:v>01_sources_collectees/SRC-104.csv</x:v>
      </x:c>
      <x:c r="F109" s="11" t="n">
        <x:v>3</x:v>
      </x:c>
      <x:c r="G109" s="13" t="n">
        <x:v>46285</x:v>
      </x:c>
      <x:c r="H109" s="11" t="str">
        <x:v>Responsables IA / DSI / métiers</x:v>
      </x:c>
      <x:c r="I109" s="11" t="str">
        <x:v>P0</x:v>
      </x:c>
      <x:c r="J109" s="11" t="str">
        <x:v>Collecté dans la simulation</x:v>
      </x:c>
      <x:c r="K109" s="11" t="str">
        <x:v>Contenu normalisé ou métadonnées selon le mode prévu</x:v>
      </x:c>
      <x:c r="L109" s="11" t="str">
        <x:v>SYNTHETIQUE</x:v>
      </x:c>
    </x:row>
    <x:row r="110" ht="28" customHeight="1">
      <x:c r="A110" s="10" t="str">
        <x:v>SRC-105</x:v>
      </x:c>
      <x:c r="B110" s="10" t="str">
        <x:v>IA, agents et usages réels</x:v>
      </x:c>
      <x:c r="C110" s="10" t="str">
        <x:v>Usages non recensés et IA externes</x:v>
      </x:c>
      <x:c r="D110" s="10" t="str">
        <x:v>A — Agrégats</x:v>
      </x:c>
      <x:c r="E110" s="10" t="str">
        <x:v>01_sources_collectees/SRC-105.csv</x:v>
      </x:c>
      <x:c r="F110" s="10" t="n">
        <x:v>3</x:v>
      </x:c>
      <x:c r="G110" s="12" t="n">
        <x:v>46285</x:v>
      </x:c>
      <x:c r="H110" s="10" t="str">
        <x:v>Responsables IA / DSI / métiers</x:v>
      </x:c>
      <x:c r="I110" s="10" t="str">
        <x:v>P1</x:v>
      </x:c>
      <x:c r="J110" s="10" t="str">
        <x:v>Collecté dans la simulation</x:v>
      </x:c>
      <x:c r="K110" s="10" t="str">
        <x:v>Contenu normalisé ou métadonnées selon le mode prévu</x:v>
      </x:c>
      <x:c r="L110" s="10" t="str">
        <x:v>SYNTHETIQUE</x:v>
      </x:c>
    </x:row>
    <x:row r="111" ht="38" customHeight="1">
      <x:c r="A111" s="11" t="str">
        <x:v>SRC-106</x:v>
      </x:c>
      <x:c r="B111" s="11" t="str">
        <x:v>Gouvernance, conformité et cybersécurité</x:v>
      </x:c>
      <x:c r="C111" s="11" t="str">
        <x:v>Politique IA et règles d'usage</x:v>
      </x:c>
      <x:c r="D111" s="11" t="str">
        <x:v>D — Document ciblé</x:v>
      </x:c>
      <x:c r="E111" s="11" t="str">
        <x:v>01_sources_collectees/SRC-106.csv</x:v>
      </x:c>
      <x:c r="F111" s="11" t="n">
        <x:v>3</x:v>
      </x:c>
      <x:c r="G111" s="13" t="n">
        <x:v>46285</x:v>
      </x:c>
      <x:c r="H111" s="11" t="str">
        <x:v>Risques / conformité / DPO / RSSI</x:v>
      </x:c>
      <x:c r="I111" s="11" t="str">
        <x:v>P0</x:v>
      </x:c>
      <x:c r="J111" s="11" t="str">
        <x:v>Collecté dans la simulation</x:v>
      </x:c>
      <x:c r="K111" s="11" t="str">
        <x:v>Contenu normalisé ou métadonnées selon le mode prévu</x:v>
      </x:c>
      <x:c r="L111" s="11" t="str">
        <x:v>SYNTHETIQUE</x:v>
      </x:c>
    </x:row>
    <x:row r="112" ht="38" customHeight="1">
      <x:c r="A112" s="10" t="str">
        <x:v>SRC-107</x:v>
      </x:c>
      <x:c r="B112" s="10" t="str">
        <x:v>Gouvernance, conformité et cybersécurité</x:v>
      </x:c>
      <x:c r="C112" s="10" t="str">
        <x:v>Registre traitements et analyses d'impact</x:v>
      </x:c>
      <x:c r="D112" s="10" t="str">
        <x:v>M — Métadonnées</x:v>
      </x:c>
      <x:c r="E112" s="10" t="str">
        <x:v>01_sources_collectees/SRC-107.csv</x:v>
      </x:c>
      <x:c r="F112" s="10" t="n">
        <x:v>3</x:v>
      </x:c>
      <x:c r="G112" s="12" t="n">
        <x:v>46285</x:v>
      </x:c>
      <x:c r="H112" s="10" t="str">
        <x:v>Risques / conformité / DPO / RSSI</x:v>
      </x:c>
      <x:c r="I112" s="10" t="str">
        <x:v>P0</x:v>
      </x:c>
      <x:c r="J112" s="10" t="str">
        <x:v>Collecté dans la simulation</x:v>
      </x:c>
      <x:c r="K112" s="10" t="str">
        <x:v>Contenu normalisé ou métadonnées selon le mode prévu</x:v>
      </x:c>
      <x:c r="L112" s="10" t="str">
        <x:v>SYNTHETIQUE</x:v>
      </x:c>
    </x:row>
    <x:row r="113" ht="38" customHeight="1">
      <x:c r="A113" s="11" t="str">
        <x:v>SRC-108</x:v>
      </x:c>
      <x:c r="B113" s="11" t="str">
        <x:v>Gouvernance, conformité et cybersécurité</x:v>
      </x:c>
      <x:c r="C113" s="11" t="str">
        <x:v>Dossiers de qualification réglementaire IA</x:v>
      </x:c>
      <x:c r="D113" s="11" t="str">
        <x:v>D — Document ciblé</x:v>
      </x:c>
      <x:c r="E113" s="11" t="str">
        <x:v>01_sources_collectees/SRC-108.csv</x:v>
      </x:c>
      <x:c r="F113" s="11" t="n">
        <x:v>3</x:v>
      </x:c>
      <x:c r="G113" s="13" t="n">
        <x:v>46285</x:v>
      </x:c>
      <x:c r="H113" s="11" t="str">
        <x:v>Risques / conformité / DPO / RSSI</x:v>
      </x:c>
      <x:c r="I113" s="11" t="str">
        <x:v>P1</x:v>
      </x:c>
      <x:c r="J113" s="11" t="str">
        <x:v>Collecté dans la simulation</x:v>
      </x:c>
      <x:c r="K113" s="11" t="str">
        <x:v>Contenu normalisé ou métadonnées selon le mode prévu</x:v>
      </x:c>
      <x:c r="L113" s="11" t="str">
        <x:v>SYNTHETIQUE</x:v>
      </x:c>
    </x:row>
    <x:row r="114" ht="38" customHeight="1">
      <x:c r="A114" s="10" t="str">
        <x:v>SRC-109</x:v>
      </x:c>
      <x:c r="B114" s="10" t="str">
        <x:v>Gouvernance, conformité et cybersécurité</x:v>
      </x:c>
      <x:c r="C114" s="10" t="str">
        <x:v>Cartographie risques et contrôles permanents</x:v>
      </x:c>
      <x:c r="D114" s="10" t="str">
        <x:v>D — Document ciblé</x:v>
      </x:c>
      <x:c r="E114" s="10" t="str">
        <x:v>01_sources_collectees/SRC-109.csv</x:v>
      </x:c>
      <x:c r="F114" s="10" t="n">
        <x:v>3</x:v>
      </x:c>
      <x:c r="G114" s="12" t="n">
        <x:v>46285</x:v>
      </x:c>
      <x:c r="H114" s="10" t="str">
        <x:v>Risques / conformité / DPO / RSSI</x:v>
      </x:c>
      <x:c r="I114" s="10" t="str">
        <x:v>P0</x:v>
      </x:c>
      <x:c r="J114" s="10" t="str">
        <x:v>Collecté dans la simulation</x:v>
      </x:c>
      <x:c r="K114" s="10" t="str">
        <x:v>Contenu normalisé ou métadonnées selon le mode prévu</x:v>
      </x:c>
      <x:c r="L114" s="10" t="str">
        <x:v>SYNTHETIQUE</x:v>
      </x:c>
    </x:row>
    <x:row r="115" ht="38" customHeight="1">
      <x:c r="A115" s="11" t="str">
        <x:v>SRC-110</x:v>
      </x:c>
      <x:c r="B115" s="11" t="str">
        <x:v>Gouvernance, conformité et cybersécurité</x:v>
      </x:c>
      <x:c r="C115" s="11" t="str">
        <x:v>Contrats fournisseurs et sous-traitance</x:v>
      </x:c>
      <x:c r="D115" s="11" t="str">
        <x:v>D — Document ciblé</x:v>
      </x:c>
      <x:c r="E115" s="11" t="str">
        <x:v>01_sources_collectees/SRC-110.csv</x:v>
      </x:c>
      <x:c r="F115" s="11" t="n">
        <x:v>3</x:v>
      </x:c>
      <x:c r="G115" s="13" t="n">
        <x:v>46285</x:v>
      </x:c>
      <x:c r="H115" s="11" t="str">
        <x:v>Risques / conformité / DPO / RSSI</x:v>
      </x:c>
      <x:c r="I115" s="11" t="str">
        <x:v>P1</x:v>
      </x:c>
      <x:c r="J115" s="11" t="str">
        <x:v>Collecté dans la simulation</x:v>
      </x:c>
      <x:c r="K115" s="11" t="str">
        <x:v>Contenu normalisé ou métadonnées selon le mode prévu</x:v>
      </x:c>
      <x:c r="L115" s="11" t="str">
        <x:v>SYNTHETIQUE</x:v>
      </x:c>
    </x:row>
    <x:row r="116" ht="38" customHeight="1">
      <x:c r="A116" s="10" t="str">
        <x:v>SRC-111</x:v>
      </x:c>
      <x:c r="B116" s="10" t="str">
        <x:v>Gouvernance, conformité et cybersécurité</x:v>
      </x:c>
      <x:c r="C116" s="10" t="str">
        <x:v>Audits, incidents et sécurité technique</x:v>
      </x:c>
      <x:c r="D116" s="10" t="str">
        <x:v>A — Agrégats</x:v>
      </x:c>
      <x:c r="E116" s="10" t="str">
        <x:v>01_sources_collectees/SRC-111.csv</x:v>
      </x:c>
      <x:c r="F116" s="10" t="n">
        <x:v>3</x:v>
      </x:c>
      <x:c r="G116" s="12" t="n">
        <x:v>46285</x:v>
      </x:c>
      <x:c r="H116" s="10" t="str">
        <x:v>Risques / conformité / DPO / RSSI</x:v>
      </x:c>
      <x:c r="I116" s="10" t="str">
        <x:v>P1</x:v>
      </x:c>
      <x:c r="J116" s="10" t="str">
        <x:v>Collecté dans la simulation</x:v>
      </x:c>
      <x:c r="K116" s="10" t="str">
        <x:v>Contenu normalisé ou métadonnées selon le mode prévu</x:v>
      </x:c>
      <x:c r="L116" s="10" t="str">
        <x:v>SYNTHETIQUE</x:v>
      </x:c>
    </x:row>
    <x:row r="117" ht="38" customHeight="1">
      <x:c r="A117" s="11" t="str">
        <x:v>SRC-112</x:v>
      </x:c>
      <x:c r="B117" s="11" t="str">
        <x:v>Travail informel et connaissances tacites</x:v>
      </x:c>
      <x:c r="C117" s="11" t="str">
        <x:v>Entretiens métiers structurés</x:v>
      </x:c>
      <x:c r="D117" s="11" t="str">
        <x:v>D — Document ciblé</x:v>
      </x:c>
      <x:c r="E117" s="11" t="str">
        <x:v>01_sources_collectees/SRC-112.csv</x:v>
      </x:c>
      <x:c r="F117" s="11" t="n">
        <x:v>3</x:v>
      </x:c>
      <x:c r="G117" s="13" t="n">
        <x:v>46285</x:v>
      </x:c>
      <x:c r="H117" s="11" t="str">
        <x:v>Métiers / managers / amélioration continue</x:v>
      </x:c>
      <x:c r="I117" s="11" t="str">
        <x:v>P0</x:v>
      </x:c>
      <x:c r="J117" s="11" t="str">
        <x:v>Collecté dans la simulation</x:v>
      </x:c>
      <x:c r="K117" s="11" t="str">
        <x:v>Contenu normalisé ou métadonnées selon le mode prévu</x:v>
      </x:c>
      <x:c r="L117" s="11" t="str">
        <x:v>SYNTHETIQUE</x:v>
      </x:c>
    </x:row>
    <x:row r="118" ht="38" customHeight="1">
      <x:c r="A118" s="10" t="str">
        <x:v>SRC-113</x:v>
      </x:c>
      <x:c r="B118" s="10" t="str">
        <x:v>Travail informel et connaissances tacites</x:v>
      </x:c>
      <x:c r="C118" s="10" t="str">
        <x:v>Observation d'une activité réelle</x:v>
      </x:c>
      <x:c r="D118" s="10" t="str">
        <x:v>E — Échantillon</x:v>
      </x:c>
      <x:c r="E118" s="10" t="str">
        <x:v>01_sources_collectees/SRC-113.csv</x:v>
      </x:c>
      <x:c r="F118" s="10" t="n">
        <x:v>3</x:v>
      </x:c>
      <x:c r="G118" s="12" t="n">
        <x:v>46285</x:v>
      </x:c>
      <x:c r="H118" s="10" t="str">
        <x:v>Métiers / managers / amélioration continue</x:v>
      </x:c>
      <x:c r="I118" s="10" t="str">
        <x:v>P0</x:v>
      </x:c>
      <x:c r="J118" s="10" t="str">
        <x:v>Collecté dans la simulation</x:v>
      </x:c>
      <x:c r="K118" s="10" t="str">
        <x:v>Contenu normalisé ou métadonnées selon le mode prévu</x:v>
      </x:c>
      <x:c r="L118" s="10" t="str">
        <x:v>SYNTHETIQUE</x:v>
      </x:c>
    </x:row>
    <x:row r="119" ht="38" customHeight="1">
      <x:c r="A119" s="11" t="str">
        <x:v>SRC-114</x:v>
      </x:c>
      <x:c r="B119" s="11" t="str">
        <x:v>Travail informel et connaissances tacites</x:v>
      </x:c>
      <x:c r="C119" s="11" t="str">
        <x:v>Tableurs locaux et bases personnelles métier</x:v>
      </x:c>
      <x:c r="D119" s="11" t="str">
        <x:v>M — Métadonnées</x:v>
      </x:c>
      <x:c r="E119" s="11" t="str">
        <x:v>01_sources_collectees/SRC-114.csv</x:v>
      </x:c>
      <x:c r="F119" s="11" t="n">
        <x:v>3</x:v>
      </x:c>
      <x:c r="G119" s="13" t="n">
        <x:v>46285</x:v>
      </x:c>
      <x:c r="H119" s="11" t="str">
        <x:v>Métiers / managers / amélioration continue</x:v>
      </x:c>
      <x:c r="I119" s="11" t="str">
        <x:v>P1</x:v>
      </x:c>
      <x:c r="J119" s="11" t="str">
        <x:v>Collecté dans la simulation</x:v>
      </x:c>
      <x:c r="K119" s="11" t="str">
        <x:v>Contenu normalisé ou métadonnées selon le mode prévu</x:v>
      </x:c>
      <x:c r="L119" s="11" t="str">
        <x:v>SYNTHETIQUE</x:v>
      </x:c>
    </x:row>
    <x:row r="120" ht="38" customHeight="1">
      <x:c r="A120" s="10" t="str">
        <x:v>SRC-115</x:v>
      </x:c>
      <x:c r="B120" s="10" t="str">
        <x:v>Travail informel et connaissances tacites</x:v>
      </x:c>
      <x:c r="C120" s="10" t="str">
        <x:v>Guides maison et carnets d'expertise</x:v>
      </x:c>
      <x:c r="D120" s="10" t="str">
        <x:v>E — Échantillon</x:v>
      </x:c>
      <x:c r="E120" s="10" t="str">
        <x:v>01_sources_collectees/SRC-115.csv</x:v>
      </x:c>
      <x:c r="F120" s="10" t="n">
        <x:v>3</x:v>
      </x:c>
      <x:c r="G120" s="12" t="n">
        <x:v>46285</x:v>
      </x:c>
      <x:c r="H120" s="10" t="str">
        <x:v>Métiers / managers / amélioration continue</x:v>
      </x:c>
      <x:c r="I120" s="10" t="str">
        <x:v>P1</x:v>
      </x:c>
      <x:c r="J120" s="10" t="str">
        <x:v>Collecté dans la simulation</x:v>
      </x:c>
      <x:c r="K120" s="10" t="str">
        <x:v>Contenu normalisé ou métadonnées selon le mode prévu</x:v>
      </x:c>
      <x:c r="L120" s="10" t="str">
        <x:v>SYNTHETIQUE</x:v>
      </x:c>
    </x:row>
    <x:row r="121" ht="38" customHeight="1">
      <x:c r="A121" s="11" t="str">
        <x:v>SRC-116</x:v>
      </x:c>
      <x:c r="B121" s="11" t="str">
        <x:v>Travail informel et connaissances tacites</x:v>
      </x:c>
      <x:c r="C121" s="11" t="str">
        <x:v>Fils de collaboration sélectionnés</x:v>
      </x:c>
      <x:c r="D121" s="11" t="str">
        <x:v>E — Échantillon</x:v>
      </x:c>
      <x:c r="E121" s="11" t="str">
        <x:v>01_sources_collectees/SRC-116.csv</x:v>
      </x:c>
      <x:c r="F121" s="11" t="n">
        <x:v>3</x:v>
      </x:c>
      <x:c r="G121" s="13" t="n">
        <x:v>46285</x:v>
      </x:c>
      <x:c r="H121" s="11" t="str">
        <x:v>Métiers / managers / amélioration continue</x:v>
      </x:c>
      <x:c r="I121" s="11" t="str">
        <x:v>P2</x:v>
      </x:c>
      <x:c r="J121" s="11" t="str">
        <x:v>Collecté dans la simulation</x:v>
      </x:c>
      <x:c r="K121" s="11" t="str">
        <x:v>Contenu normalisé ou métadonnées selon le mode prévu</x:v>
      </x:c>
      <x:c r="L121" s="11" t="str">
        <x:v>SYNTHETIQUE</x:v>
      </x:c>
    </x:row>
    <x:row r="122" ht="38" customHeight="1">
      <x:c r="A122" s="10" t="str">
        <x:v>SRC-117</x:v>
      </x:c>
      <x:c r="B122" s="10" t="str">
        <x:v>Travail informel et connaissances tacites</x:v>
      </x:c>
      <x:c r="C122" s="10" t="str">
        <x:v>Journaux de bord volontaires et ateliers</x:v>
      </x:c>
      <x:c r="D122" s="10" t="str">
        <x:v>D — Document ciblé</x:v>
      </x:c>
      <x:c r="E122" s="10" t="str">
        <x:v>01_sources_collectees/SRC-117.csv</x:v>
      </x:c>
      <x:c r="F122" s="10" t="n">
        <x:v>3</x:v>
      </x:c>
      <x:c r="G122" s="12" t="n">
        <x:v>46285</x:v>
      </x:c>
      <x:c r="H122" s="10" t="str">
        <x:v>Métiers / managers / amélioration continue</x:v>
      </x:c>
      <x:c r="I122" s="10" t="str">
        <x:v>P0</x:v>
      </x:c>
      <x:c r="J122" s="10" t="str">
        <x:v>Collecté dans la simulation</x:v>
      </x:c>
      <x:c r="K122" s="10" t="str">
        <x:v>Contenu normalisé ou métadonnées selon le mode prévu</x:v>
      </x:c>
      <x:c r="L122" s="10" t="str">
        <x:v>SYNTHETIQUE</x:v>
      </x:c>
    </x:row>
  </x:sheetData>
  <x:pageMargins left="0.7" right="0.7" top="0.75" bottom="0.75" header="0.3" footer="0.3"/>
  <x:tableParts count="1">
    <x:tablePart xmlns:r="http://schemas.openxmlformats.org/officeDocument/2006/relationships" r:id="Rc7018ce82533441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1" hidden="0" customWidth="1"/>
    <x:col min="2" max="2" width="15" hidden="0" customWidth="1"/>
    <x:col min="3" max="3" width="49" hidden="0" customWidth="1"/>
    <x:col min="4" max="4" width="85" hidden="0" customWidth="1"/>
    <x:col min="5" max="5" width="16" hidden="0" customWidth="1"/>
    <x:col min="6" max="6" width="20" hidden="0" customWidth="1"/>
    <x:col min="7" max="7" width="40" hidden="0" customWidth="1"/>
    <x:col min="8" max="8" width="2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Extraits</x:v>
      </x:c>
      <x:c r="B2" s="2"/>
      <x:c r="C2" s="2"/>
      <x:c r="D2" s="2"/>
      <x:c r="E2" s="2"/>
      <x:c r="F2" s="2"/>
      <x:c r="G2" s="2"/>
      <x:c r="H2" s="2"/>
    </x:row>
    <x:row r="3">
      <x:c r="A3" s="4" t="str">
        <x:v>DONNÉES SYNTHÉTIQUES — Assureur Démo France — août 2026 / état au 20 septembre 2026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42" customHeight="1">
      <x:c r="A5" s="8" t="str">
        <x:v>extrait_id</x:v>
      </x:c>
      <x:c r="B5" s="8" t="str">
        <x:v>source_id</x:v>
      </x:c>
      <x:c r="C5" s="8" t="str">
        <x:v>Champ</x:v>
      </x:c>
      <x:c r="D5" s="8" t="str">
        <x:v>Valeur synthétique</x:v>
      </x:c>
      <x:c r="E5" s="8" t="str">
        <x:v>Type</x:v>
      </x:c>
      <x:c r="F5" s="8" t="str">
        <x:v>Unité</x:v>
      </x:c>
      <x:c r="G5" s="8" t="str">
        <x:v>Période / état</x:v>
      </x:c>
      <x:c r="H5" s="8" t="str">
        <x:v>Nature</x:v>
      </x:c>
    </x:row>
    <x:row r="6" ht="28" customHeight="1">
      <x:c r="A6" s="10" t="str">
        <x:v>SRC-001-E1</x:v>
      </x:c>
      <x:c r="B6" s="10" t="str">
        <x:v>SRC-001</x:v>
      </x:c>
      <x:c r="C6" s="10" t="str">
        <x:v>objectif_delai_sinistre_jours</x:v>
      </x:c>
      <x:c r="D6" s="10" t="n">
        <x:v>8</x:v>
      </x:c>
      <x:c r="E6" s="10" t="str">
        <x:v>number</x:v>
      </x:c>
      <x:c r="F6" s="10" t="str">
        <x:v>jours</x:v>
      </x:c>
      <x:c r="G6" s="10" t="str">
        <x:v>2026-08 / état au 2026-09-20</x:v>
      </x:c>
      <x:c r="H6" s="10" t="str">
        <x:v>SYNTHETIQUE</x:v>
      </x:c>
    </x:row>
    <x:row r="7" ht="28" customHeight="1">
      <x:c r="A7" s="11" t="str">
        <x:v>SRC-001-E2</x:v>
      </x:c>
      <x:c r="B7" s="11" t="str">
        <x:v>SRC-001</x:v>
      </x:c>
      <x:c r="C7" s="11" t="str">
        <x:v>priorite_2026</x:v>
      </x:c>
      <x:c r="D7" s="11" t="str">
        <x:v>Réduire le délai de règlement habitation</x:v>
      </x:c>
      <x:c r="E7" s="11" t="str">
        <x:v>string</x:v>
      </x:c>
      <x:c r="F7" s="11" t="str"/>
      <x:c r="G7" s="11" t="str">
        <x:v>2026-08 / état au 2026-09-20</x:v>
      </x:c>
      <x:c r="H7" s="11" t="str">
        <x:v>SYNTHETIQUE</x:v>
      </x:c>
    </x:row>
    <x:row r="8" ht="28" customHeight="1">
      <x:c r="A8" s="10" t="str">
        <x:v>SRC-001-E3</x:v>
      </x:c>
      <x:c r="B8" s="10" t="str">
        <x:v>SRC-001</x:v>
      </x:c>
      <x:c r="C8" s="10" t="str">
        <x:v>budget_transformation_eur</x:v>
      </x:c>
      <x:c r="D8" s="10" t="n">
        <x:v>2400000</x:v>
      </x:c>
      <x:c r="E8" s="10" t="str">
        <x:v>number</x:v>
      </x:c>
      <x:c r="F8" s="10" t="str">
        <x:v>EUR</x:v>
      </x:c>
      <x:c r="G8" s="10" t="str">
        <x:v>2026-08 / état au 2026-09-20</x:v>
      </x:c>
      <x:c r="H8" s="10" t="str">
        <x:v>SYNTHETIQUE</x:v>
      </x:c>
    </x:row>
    <x:row r="9" ht="28" customHeight="1">
      <x:c r="A9" s="11" t="str">
        <x:v>SRC-002-E1</x:v>
      </x:c>
      <x:c r="B9" s="11" t="str">
        <x:v>SRC-002</x:v>
      </x:c>
      <x:c r="C9" s="11" t="str">
        <x:v>entite</x:v>
      </x:c>
      <x:c r="D9" s="11" t="str">
        <x:v>Assureur Démo France</x:v>
      </x:c>
      <x:c r="E9" s="11" t="str">
        <x:v>string</x:v>
      </x:c>
      <x:c r="F9" s="11" t="str"/>
      <x:c r="G9" s="11" t="str">
        <x:v>2026-08 / état au 2026-09-20</x:v>
      </x:c>
      <x:c r="H9" s="11" t="str">
        <x:v>SYNTHETIQUE</x:v>
      </x:c>
    </x:row>
    <x:row r="10" ht="28" customHeight="1">
      <x:c r="A10" s="10" t="str">
        <x:v>SRC-002-E2</x:v>
      </x:c>
      <x:c r="B10" s="10" t="str">
        <x:v>SRC-002</x:v>
      </x:c>
      <x:c r="C10" s="10" t="str">
        <x:v>equipes_perimetre</x:v>
      </x:c>
      <x:c r="D10" s="10" t="n">
        <x:v>20</x:v>
      </x:c>
      <x:c r="E10" s="10" t="str">
        <x:v>number</x:v>
      </x:c>
      <x:c r="F10" s="10" t="str"/>
      <x:c r="G10" s="10" t="str">
        <x:v>2026-08 / état au 2026-09-20</x:v>
      </x:c>
      <x:c r="H10" s="10" t="str">
        <x:v>SYNTHETIQUE</x:v>
      </x:c>
    </x:row>
    <x:row r="11" ht="28" customHeight="1">
      <x:c r="A11" s="11" t="str">
        <x:v>SRC-002-E3</x:v>
      </x:c>
      <x:c r="B11" s="11" t="str">
        <x:v>SRC-002</x:v>
      </x:c>
      <x:c r="C11" s="11" t="str">
        <x:v>effectif_perimetre_etp</x:v>
      </x:c>
      <x:c r="D11" s="11" t="n">
        <x:v>1200</x:v>
      </x:c>
      <x:c r="E11" s="11" t="str">
        <x:v>number</x:v>
      </x:c>
      <x:c r="F11" s="11" t="str"/>
      <x:c r="G11" s="11" t="str">
        <x:v>2026-08 / état au 2026-09-20</x:v>
      </x:c>
      <x:c r="H11" s="11" t="str">
        <x:v>SYNTHETIQUE</x:v>
      </x:c>
    </x:row>
    <x:row r="12" ht="28" customHeight="1">
      <x:c r="A12" s="10" t="str">
        <x:v>SRC-003-E1</x:v>
      </x:c>
      <x:c r="B12" s="10" t="str">
        <x:v>SRC-003</x:v>
      </x:c>
      <x:c r="C12" s="10" t="str">
        <x:v>role</x:v>
      </x:c>
      <x:c r="D12" s="10" t="str">
        <x:v>Gestionnaire sinistres habitation</x:v>
      </x:c>
      <x:c r="E12" s="10" t="str">
        <x:v>string</x:v>
      </x:c>
      <x:c r="F12" s="10" t="str"/>
      <x:c r="G12" s="10" t="str">
        <x:v>2026-08 / état au 2026-09-20</x:v>
      </x:c>
      <x:c r="H12" s="10" t="str">
        <x:v>SYNTHETIQUE</x:v>
      </x:c>
    </x:row>
    <x:row r="13" ht="28" customHeight="1">
      <x:c r="A13" s="11" t="str">
        <x:v>SRC-003-E2</x:v>
      </x:c>
      <x:c r="B13" s="11" t="str">
        <x:v>SRC-003</x:v>
      </x:c>
      <x:c r="C13" s="11" t="str">
        <x:v>mission</x:v>
      </x:c>
      <x:c r="D13" s="11" t="str">
        <x:v>Préparer une proposition de règlement sourcée</x:v>
      </x:c>
      <x:c r="E13" s="11" t="str">
        <x:v>string</x:v>
      </x:c>
      <x:c r="F13" s="11" t="str"/>
      <x:c r="G13" s="11" t="str">
        <x:v>2026-08 / état au 2026-09-20</x:v>
      </x:c>
      <x:c r="H13" s="11" t="str">
        <x:v>SYNTHETIQUE</x:v>
      </x:c>
    </x:row>
    <x:row r="14" ht="28" customHeight="1">
      <x:c r="A14" s="10" t="str">
        <x:v>SRC-003-E3</x:v>
      </x:c>
      <x:c r="B14" s="10" t="str">
        <x:v>SRC-003</x:v>
      </x:c>
      <x:c r="C14" s="10" t="str">
        <x:v>competence</x:v>
      </x:c>
      <x:c r="D14" s="10" t="str">
        <x:v>Lecture des garanties et gestion des exceptions</x:v>
      </x:c>
      <x:c r="E14" s="10" t="str">
        <x:v>string</x:v>
      </x:c>
      <x:c r="F14" s="10" t="str"/>
      <x:c r="G14" s="10" t="str">
        <x:v>2026-08 / état au 2026-09-20</x:v>
      </x:c>
      <x:c r="H14" s="10" t="str">
        <x:v>SYNTHETIQUE</x:v>
      </x:c>
    </x:row>
    <x:row r="15" ht="28" customHeight="1">
      <x:c r="A15" s="11" t="str">
        <x:v>SRC-004-E1</x:v>
      </x:c>
      <x:c r="B15" s="11" t="str">
        <x:v>SRC-004</x:v>
      </x:c>
      <x:c r="C15" s="11" t="str">
        <x:v>processus</x:v>
      </x:c>
      <x:c r="D15" s="11" t="str">
        <x:v>Indemnisation habitation</x:v>
      </x:c>
      <x:c r="E15" s="11" t="str">
        <x:v>string</x:v>
      </x:c>
      <x:c r="F15" s="11" t="str"/>
      <x:c r="G15" s="11" t="str">
        <x:v>2026-08 / état au 2026-09-20</x:v>
      </x:c>
      <x:c r="H15" s="11" t="str">
        <x:v>SYNTHETIQUE</x:v>
      </x:c>
    </x:row>
    <x:row r="16" ht="28" customHeight="1">
      <x:c r="A16" s="10" t="str">
        <x:v>SRC-004-E2</x:v>
      </x:c>
      <x:c r="B16" s="10" t="str">
        <x:v>SRC-004</x:v>
      </x:c>
      <x:c r="C16" s="10" t="str">
        <x:v>etapes</x:v>
      </x:c>
      <x:c r="D16" s="10" t="str">
        <x:v>Déclarer; vérifier; instruire; décider; payer; clôturer</x:v>
      </x:c>
      <x:c r="E16" s="10" t="str">
        <x:v>string</x:v>
      </x:c>
      <x:c r="F16" s="10" t="str"/>
      <x:c r="G16" s="10" t="str">
        <x:v>2026-08 / état au 2026-09-20</x:v>
      </x:c>
      <x:c r="H16" s="10" t="str">
        <x:v>SYNTHETIQUE</x:v>
      </x:c>
    </x:row>
    <x:row r="17" ht="28" customHeight="1">
      <x:c r="A17" s="11" t="str">
        <x:v>SRC-004-E3</x:v>
      </x:c>
      <x:c r="B17" s="11" t="str">
        <x:v>SRC-004</x:v>
      </x:c>
      <x:c r="C17" s="11" t="str">
        <x:v>point_attente</x:v>
      </x:c>
      <x:c r="D17" s="11" t="str">
        <x:v>Pièces complémentaires</x:v>
      </x:c>
      <x:c r="E17" s="11" t="str">
        <x:v>string</x:v>
      </x:c>
      <x:c r="F17" s="11" t="str"/>
      <x:c r="G17" s="11" t="str">
        <x:v>2026-08 / état au 2026-09-20</x:v>
      </x:c>
      <x:c r="H17" s="11" t="str">
        <x:v>SYNTHETIQUE</x:v>
      </x:c>
    </x:row>
    <x:row r="18" ht="28" customHeight="1">
      <x:c r="A18" s="10" t="str">
        <x:v>SRC-005-E1</x:v>
      </x:c>
      <x:c r="B18" s="10" t="str">
        <x:v>SRC-005</x:v>
      </x:c>
      <x:c r="C18" s="10" t="str">
        <x:v>decision</x:v>
      </x:c>
      <x:c r="D18" s="10" t="str">
        <x:v>Autoriser un paiement de sinistre</x:v>
      </x:c>
      <x:c r="E18" s="10" t="str">
        <x:v>string</x:v>
      </x:c>
      <x:c r="F18" s="10" t="str"/>
      <x:c r="G18" s="10" t="str">
        <x:v>2026-08 / état au 2026-09-20</x:v>
      </x:c>
      <x:c r="H18" s="10" t="str">
        <x:v>SYNTHETIQUE</x:v>
      </x:c>
    </x:row>
    <x:row r="19" ht="28" customHeight="1">
      <x:c r="A19" s="11" t="str">
        <x:v>SRC-005-E2</x:v>
      </x:c>
      <x:c r="B19" s="11" t="str">
        <x:v>SRC-005</x:v>
      </x:c>
      <x:c r="C19" s="11" t="str">
        <x:v>seuil_gestionnaire_eur</x:v>
      </x:c>
      <x:c r="D19" s="11" t="n">
        <x:v>1500</x:v>
      </x:c>
      <x:c r="E19" s="11" t="str">
        <x:v>number</x:v>
      </x:c>
      <x:c r="F19" s="11" t="str">
        <x:v>EUR</x:v>
      </x:c>
      <x:c r="G19" s="11" t="str">
        <x:v>2026-08 / état au 2026-09-20</x:v>
      </x:c>
      <x:c r="H19" s="11" t="str">
        <x:v>SYNTHETIQUE</x:v>
      </x:c>
    </x:row>
    <x:row r="20" ht="28" customHeight="1">
      <x:c r="A20" s="10" t="str">
        <x:v>SRC-005-E3</x:v>
      </x:c>
      <x:c r="B20" s="10" t="str">
        <x:v>SRC-005</x:v>
      </x:c>
      <x:c r="C20" s="10" t="str">
        <x:v>au_dela</x:v>
      </x:c>
      <x:c r="D20" s="10" t="str">
        <x:v>Validation responsable indemnisation</x:v>
      </x:c>
      <x:c r="E20" s="10" t="str">
        <x:v>string</x:v>
      </x:c>
      <x:c r="F20" s="10" t="str"/>
      <x:c r="G20" s="10" t="str">
        <x:v>2026-08 / état au 2026-09-20</x:v>
      </x:c>
      <x:c r="H20" s="10" t="str">
        <x:v>SYNTHETIQUE</x:v>
      </x:c>
    </x:row>
    <x:row r="21" ht="28" customHeight="1">
      <x:c r="A21" s="11" t="str">
        <x:v>SRC-006-E1</x:v>
      </x:c>
      <x:c r="B21" s="11" t="str">
        <x:v>SRC-006</x:v>
      </x:c>
      <x:c r="C21" s="11" t="str">
        <x:v>projet</x:v>
      </x:c>
      <x:c r="D21" s="11" t="str">
        <x:v>Copilote Sinistres</x:v>
      </x:c>
      <x:c r="E21" s="11" t="str">
        <x:v>string</x:v>
      </x:c>
      <x:c r="F21" s="11" t="str"/>
      <x:c r="G21" s="11" t="str">
        <x:v>2026-08 / état au 2026-09-20</x:v>
      </x:c>
      <x:c r="H21" s="11" t="str">
        <x:v>SYNTHETIQUE</x:v>
      </x:c>
    </x:row>
    <x:row r="22" ht="28" customHeight="1">
      <x:c r="A22" s="10" t="str">
        <x:v>SRC-006-E2</x:v>
      </x:c>
      <x:c r="B22" s="10" t="str">
        <x:v>SRC-006</x:v>
      </x:c>
      <x:c r="C22" s="10" t="str">
        <x:v>statut</x:v>
      </x:c>
      <x:c r="D22" s="10" t="str">
        <x:v>Production pilote</x:v>
      </x:c>
      <x:c r="E22" s="10" t="str">
        <x:v>string</x:v>
      </x:c>
      <x:c r="F22" s="10" t="str"/>
      <x:c r="G22" s="10" t="str">
        <x:v>2026-08 / état au 2026-09-20</x:v>
      </x:c>
      <x:c r="H22" s="10" t="str">
        <x:v>SYNTHETIQUE</x:v>
      </x:c>
    </x:row>
    <x:row r="23" ht="28" customHeight="1">
      <x:c r="A23" s="11" t="str">
        <x:v>SRC-006-E3</x:v>
      </x:c>
      <x:c r="B23" s="11" t="str">
        <x:v>SRC-006</x:v>
      </x:c>
      <x:c r="C23" s="11" t="str">
        <x:v>budget_annuel_eur</x:v>
      </x:c>
      <x:c r="D23" s="11" t="n">
        <x:v>102000</x:v>
      </x:c>
      <x:c r="E23" s="11" t="str">
        <x:v>number</x:v>
      </x:c>
      <x:c r="F23" s="11" t="str">
        <x:v>EUR</x:v>
      </x:c>
      <x:c r="G23" s="11" t="str">
        <x:v>2026-08 / état au 2026-09-20</x:v>
      </x:c>
      <x:c r="H23" s="11" t="str">
        <x:v>SYNTHETIQUE</x:v>
      </x:c>
    </x:row>
    <x:row r="24" ht="28" customHeight="1">
      <x:c r="A24" s="10" t="str">
        <x:v>SRC-007-E1</x:v>
      </x:c>
      <x:c r="B24" s="10" t="str">
        <x:v>SRC-007</x:v>
      </x:c>
      <x:c r="C24" s="10" t="str">
        <x:v>produit</x:v>
      </x:c>
      <x:c r="D24" s="10" t="str">
        <x:v>Habitation Horizon</x:v>
      </x:c>
      <x:c r="E24" s="10" t="str">
        <x:v>string</x:v>
      </x:c>
      <x:c r="F24" s="10" t="str"/>
      <x:c r="G24" s="10" t="str">
        <x:v>2026-08 / état au 2026-09-20</x:v>
      </x:c>
      <x:c r="H24" s="10" t="str">
        <x:v>SYNTHETIQUE</x:v>
      </x:c>
    </x:row>
    <x:row r="25" ht="28" customHeight="1">
      <x:c r="A25" s="11" t="str">
        <x:v>SRC-007-E2</x:v>
      </x:c>
      <x:c r="B25" s="11" t="str">
        <x:v>SRC-007</x:v>
      </x:c>
      <x:c r="C25" s="11" t="str">
        <x:v>code_produit</x:v>
      </x:c>
      <x:c r="D25" s="11" t="str">
        <x:v>HAB-01</x:v>
      </x:c>
      <x:c r="E25" s="11" t="str">
        <x:v>string</x:v>
      </x:c>
      <x:c r="F25" s="11" t="str"/>
      <x:c r="G25" s="11" t="str">
        <x:v>2026-08 / état au 2026-09-20</x:v>
      </x:c>
      <x:c r="H25" s="11" t="str">
        <x:v>SYNTHETIQUE</x:v>
      </x:c>
    </x:row>
    <x:row r="26" ht="28" customHeight="1">
      <x:c r="A26" s="10" t="str">
        <x:v>SRC-007-E3</x:v>
      </x:c>
      <x:c r="B26" s="10" t="str">
        <x:v>SRC-007</x:v>
      </x:c>
      <x:c r="C26" s="10" t="str">
        <x:v>garantie</x:v>
      </x:c>
      <x:c r="D26" s="10" t="str">
        <x:v>Dégâts des eaux</x:v>
      </x:c>
      <x:c r="E26" s="10" t="str">
        <x:v>string</x:v>
      </x:c>
      <x:c r="F26" s="10" t="str"/>
      <x:c r="G26" s="10" t="str">
        <x:v>2026-08 / état au 2026-09-20</x:v>
      </x:c>
      <x:c r="H26" s="10" t="str">
        <x:v>SYNTHETIQUE</x:v>
      </x:c>
    </x:row>
    <x:row r="27" ht="28" customHeight="1">
      <x:c r="A27" s="11" t="str">
        <x:v>SRC-008-E1</x:v>
      </x:c>
      <x:c r="B27" s="11" t="str">
        <x:v>SRC-008</x:v>
      </x:c>
      <x:c r="C27" s="11" t="str">
        <x:v>clause</x:v>
      </x:c>
      <x:c r="D27" s="11" t="str">
        <x:v>Franchise fixe dommages courants</x:v>
      </x:c>
      <x:c r="E27" s="11" t="str">
        <x:v>string</x:v>
      </x:c>
      <x:c r="F27" s="11" t="str"/>
      <x:c r="G27" s="11" t="str">
        <x:v>2026-08 / état au 2026-09-20</x:v>
      </x:c>
      <x:c r="H27" s="11" t="str">
        <x:v>SYNTHETIQUE</x:v>
      </x:c>
    </x:row>
    <x:row r="28" ht="28" customHeight="1">
      <x:c r="A28" s="10" t="str">
        <x:v>SRC-008-E2</x:v>
      </x:c>
      <x:c r="B28" s="10" t="str">
        <x:v>SRC-008</x:v>
      </x:c>
      <x:c r="C28" s="10" t="str">
        <x:v>franchise_eur</x:v>
      </x:c>
      <x:c r="D28" s="10" t="n">
        <x:v>150</x:v>
      </x:c>
      <x:c r="E28" s="10" t="str">
        <x:v>number</x:v>
      </x:c>
      <x:c r="F28" s="10" t="str">
        <x:v>EUR</x:v>
      </x:c>
      <x:c r="G28" s="10" t="str">
        <x:v>2026-08 / état au 2026-09-20</x:v>
      </x:c>
      <x:c r="H28" s="10" t="str">
        <x:v>SYNTHETIQUE</x:v>
      </x:c>
    </x:row>
    <x:row r="29" ht="28" customHeight="1">
      <x:c r="A29" s="11" t="str">
        <x:v>SRC-008-E3</x:v>
      </x:c>
      <x:c r="B29" s="11" t="str">
        <x:v>SRC-008</x:v>
      </x:c>
      <x:c r="C29" s="11" t="str">
        <x:v>version</x:v>
      </x:c>
      <x:c r="D29" s="11" t="str">
        <x:v>CG-HAB-2026.2</x:v>
      </x:c>
      <x:c r="E29" s="11" t="str">
        <x:v>string</x:v>
      </x:c>
      <x:c r="F29" s="11" t="str"/>
      <x:c r="G29" s="11" t="str">
        <x:v>2026-08 / état au 2026-09-20</x:v>
      </x:c>
      <x:c r="H29" s="11" t="str">
        <x:v>SYNTHETIQUE</x:v>
      </x:c>
    </x:row>
    <x:row r="30" ht="28" customHeight="1">
      <x:c r="A30" s="10" t="str">
        <x:v>SRC-009-E1</x:v>
      </x:c>
      <x:c r="B30" s="10" t="str">
        <x:v>SRC-009</x:v>
      </x:c>
      <x:c r="C30" s="10" t="str">
        <x:v>modele</x:v>
      </x:c>
      <x:c r="D30" s="10" t="str">
        <x:v>Conditions particulières habitation</x:v>
      </x:c>
      <x:c r="E30" s="10" t="str">
        <x:v>string</x:v>
      </x:c>
      <x:c r="F30" s="10" t="str"/>
      <x:c r="G30" s="10" t="str">
        <x:v>2026-08 / état au 2026-09-20</x:v>
      </x:c>
      <x:c r="H30" s="10" t="str">
        <x:v>SYNTHETIQUE</x:v>
      </x:c>
    </x:row>
    <x:row r="31" ht="28" customHeight="1">
      <x:c r="A31" s="11" t="str">
        <x:v>SRC-009-E2</x:v>
      </x:c>
      <x:c r="B31" s="11" t="str">
        <x:v>SRC-009</x:v>
      </x:c>
      <x:c r="C31" s="11" t="str">
        <x:v>champs_variables</x:v>
      </x:c>
      <x:c r="D31" s="11" t="str">
        <x:v>Garanties; franchise; date effet; capital</x:v>
      </x:c>
      <x:c r="E31" s="11" t="str">
        <x:v>string</x:v>
      </x:c>
      <x:c r="F31" s="11" t="str"/>
      <x:c r="G31" s="11" t="str">
        <x:v>2026-08 / état au 2026-09-20</x:v>
      </x:c>
      <x:c r="H31" s="11" t="str">
        <x:v>SYNTHETIQUE</x:v>
      </x:c>
    </x:row>
    <x:row r="32" ht="28" customHeight="1">
      <x:c r="A32" s="10" t="str">
        <x:v>SRC-009-E3</x:v>
      </x:c>
      <x:c r="B32" s="10" t="str">
        <x:v>SRC-009</x:v>
      </x:c>
      <x:c r="C32" s="10" t="str">
        <x:v>validation</x:v>
      </x:c>
      <x:c r="D32" s="10" t="str">
        <x:v>Contrôle gestionnaire avant émission</x:v>
      </x:c>
      <x:c r="E32" s="10" t="str">
        <x:v>string</x:v>
      </x:c>
      <x:c r="F32" s="10" t="str"/>
      <x:c r="G32" s="10" t="str">
        <x:v>2026-08 / état au 2026-09-20</x:v>
      </x:c>
      <x:c r="H32" s="10" t="str">
        <x:v>SYNTHETIQUE</x:v>
      </x:c>
    </x:row>
    <x:row r="33" ht="28" customHeight="1">
      <x:c r="A33" s="11" t="str">
        <x:v>SRC-010-E1</x:v>
      </x:c>
      <x:c r="B33" s="11" t="str">
        <x:v>SRC-010</x:v>
      </x:c>
      <x:c r="C33" s="11" t="str">
        <x:v>produit</x:v>
      </x:c>
      <x:c r="D33" s="11" t="str">
        <x:v>HAB-01</x:v>
      </x:c>
      <x:c r="E33" s="11" t="str">
        <x:v>string</x:v>
      </x:c>
      <x:c r="F33" s="11" t="str"/>
      <x:c r="G33" s="11" t="str">
        <x:v>2026-08 / état au 2026-09-20</x:v>
      </x:c>
      <x:c r="H33" s="11" t="str">
        <x:v>SYNTHETIQUE</x:v>
      </x:c>
    </x:row>
    <x:row r="34" ht="28" customHeight="1">
      <x:c r="A34" s="10" t="str">
        <x:v>SRC-010-E2</x:v>
      </x:c>
      <x:c r="B34" s="10" t="str">
        <x:v>SRC-010</x:v>
      </x:c>
      <x:c r="C34" s="10" t="str">
        <x:v>revue</x:v>
      </x:c>
      <x:c r="D34" s="10" t="str">
        <x:v>2026-08-20</x:v>
      </x:c>
      <x:c r="E34" s="10" t="str">
        <x:v>string</x:v>
      </x:c>
      <x:c r="F34" s="10" t="str"/>
      <x:c r="G34" s="10" t="str">
        <x:v>2026-08 / état au 2026-09-20</x:v>
      </x:c>
      <x:c r="H34" s="10" t="str">
        <x:v>SYNTHETIQUE</x:v>
      </x:c>
    </x:row>
    <x:row r="35" ht="28" customHeight="1">
      <x:c r="A35" s="11" t="str">
        <x:v>SRC-010-E3</x:v>
      </x:c>
      <x:c r="B35" s="11" t="str">
        <x:v>SRC-010</x:v>
      </x:c>
      <x:c r="C35" s="11" t="str">
        <x:v>action</x:v>
      </x:c>
      <x:c r="D35" s="11" t="str">
        <x:v>Clarifier justificatifs pour dommages électriques</x:v>
      </x:c>
      <x:c r="E35" s="11" t="str">
        <x:v>string</x:v>
      </x:c>
      <x:c r="F35" s="11" t="str"/>
      <x:c r="G35" s="11" t="str">
        <x:v>2026-08 / état au 2026-09-20</x:v>
      </x:c>
      <x:c r="H35" s="11" t="str">
        <x:v>SYNTHETIQUE</x:v>
      </x:c>
    </x:row>
    <x:row r="36" ht="28" customHeight="1">
      <x:c r="A36" s="10" t="str">
        <x:v>SRC-011-E1</x:v>
      </x:c>
      <x:c r="B36" s="10" t="str">
        <x:v>SRC-011</x:v>
      </x:c>
      <x:c r="C36" s="10" t="str">
        <x:v>population</x:v>
      </x:c>
      <x:c r="D36" s="10" t="str">
        <x:v>Enquête clients habitation fictive</x:v>
      </x:c>
      <x:c r="E36" s="10" t="str">
        <x:v>string</x:v>
      </x:c>
      <x:c r="F36" s="10" t="str"/>
      <x:c r="G36" s="10" t="str">
        <x:v>2026-08 / état au 2026-09-20</x:v>
      </x:c>
      <x:c r="H36" s="10" t="str">
        <x:v>SYNTHETIQUE</x:v>
      </x:c>
    </x:row>
    <x:row r="37" ht="28" customHeight="1">
      <x:c r="A37" s="11" t="str">
        <x:v>SRC-011-E2</x:v>
      </x:c>
      <x:c r="B37" s="11" t="str">
        <x:v>SRC-011</x:v>
      </x:c>
      <x:c r="C37" s="11" t="str">
        <x:v>repondants</x:v>
      </x:c>
      <x:c r="D37" s="11" t="n">
        <x:v>800</x:v>
      </x:c>
      <x:c r="E37" s="11" t="str">
        <x:v>number</x:v>
      </x:c>
      <x:c r="F37" s="11" t="str"/>
      <x:c r="G37" s="11" t="str">
        <x:v>2026-08 / état au 2026-09-20</x:v>
      </x:c>
      <x:c r="H37" s="11" t="str">
        <x:v>SYNTHETIQUE</x:v>
      </x:c>
    </x:row>
    <x:row r="38" ht="28" customHeight="1">
      <x:c r="A38" s="10" t="str">
        <x:v>SRC-011-E3</x:v>
      </x:c>
      <x:c r="B38" s="10" t="str">
        <x:v>SRC-011</x:v>
      </x:c>
      <x:c r="C38" s="10" t="str">
        <x:v>irritant</x:v>
      </x:c>
      <x:c r="D38" s="10" t="str">
        <x:v>Répétition des demandes de pièces</x:v>
      </x:c>
      <x:c r="E38" s="10" t="str">
        <x:v>string</x:v>
      </x:c>
      <x:c r="F38" s="10" t="str"/>
      <x:c r="G38" s="10" t="str">
        <x:v>2026-08 / état au 2026-09-20</x:v>
      </x:c>
      <x:c r="H38" s="10" t="str">
        <x:v>SYNTHETIQUE</x:v>
      </x:c>
    </x:row>
    <x:row r="39" ht="28" customHeight="1">
      <x:c r="A39" s="11" t="str">
        <x:v>SRC-012-E1</x:v>
      </x:c>
      <x:c r="B39" s="11" t="str">
        <x:v>SRC-012</x:v>
      </x:c>
      <x:c r="C39" s="11" t="str">
        <x:v>fonction</x:v>
      </x:c>
      <x:c r="D39" s="11" t="str">
        <x:v>Assistant explication de garanties</x:v>
      </x:c>
      <x:c r="E39" s="11" t="str">
        <x:v>string</x:v>
      </x:c>
      <x:c r="F39" s="11" t="str"/>
      <x:c r="G39" s="11" t="str">
        <x:v>2026-08 / état au 2026-09-20</x:v>
      </x:c>
      <x:c r="H39" s="11" t="str">
        <x:v>SYNTHETIQUE</x:v>
      </x:c>
    </x:row>
    <x:row r="40" ht="28" customHeight="1">
      <x:c r="A40" s="10" t="str">
        <x:v>SRC-012-E2</x:v>
      </x:c>
      <x:c r="B40" s="10" t="str">
        <x:v>SRC-012</x:v>
      </x:c>
      <x:c r="C40" s="10" t="str">
        <x:v>priorite</x:v>
      </x:c>
      <x:c r="D40" s="10" t="str">
        <x:v>Haute</x:v>
      </x:c>
      <x:c r="E40" s="10" t="str">
        <x:v>string</x:v>
      </x:c>
      <x:c r="F40" s="10" t="str"/>
      <x:c r="G40" s="10" t="str">
        <x:v>2026-08 / état au 2026-09-20</x:v>
      </x:c>
      <x:c r="H40" s="10" t="str">
        <x:v>SYNTHETIQUE</x:v>
      </x:c>
    </x:row>
    <x:row r="41" ht="28" customHeight="1">
      <x:c r="A41" s="11" t="str">
        <x:v>SRC-012-E3</x:v>
      </x:c>
      <x:c r="B41" s="11" t="str">
        <x:v>SRC-012</x:v>
      </x:c>
      <x:c r="C41" s="11" t="str">
        <x:v>critere_acceptation</x:v>
      </x:c>
      <x:c r="D41" s="11" t="str">
        <x:v>Réponse avec clause source et version</x:v>
      </x:c>
      <x:c r="E41" s="11" t="str">
        <x:v>string</x:v>
      </x:c>
      <x:c r="F41" s="11" t="str"/>
      <x:c r="G41" s="11" t="str">
        <x:v>2026-08 / état au 2026-09-20</x:v>
      </x:c>
      <x:c r="H41" s="11" t="str">
        <x:v>SYNTHETIQUE</x:v>
      </x:c>
    </x:row>
    <x:row r="42" ht="28" customHeight="1">
      <x:c r="A42" s="10" t="str">
        <x:v>SRC-013-E1</x:v>
      </x:c>
      <x:c r="B42" s="10" t="str">
        <x:v>SRC-013</x:v>
      </x:c>
      <x:c r="C42" s="10" t="str">
        <x:v>mois</x:v>
      </x:c>
      <x:c r="D42" s="10" t="str">
        <x:v>2026-08</x:v>
      </x:c>
      <x:c r="E42" s="10" t="str">
        <x:v>string</x:v>
      </x:c>
      <x:c r="F42" s="10" t="str"/>
      <x:c r="G42" s="10" t="str">
        <x:v>2026-08 / état au 2026-09-20</x:v>
      </x:c>
      <x:c r="H42" s="10" t="str">
        <x:v>SYNTHETIQUE</x:v>
      </x:c>
    </x:row>
    <x:row r="43" ht="28" customHeight="1">
      <x:c r="A43" s="11" t="str">
        <x:v>SRC-013-E2</x:v>
      </x:c>
      <x:c r="B43" s="11" t="str">
        <x:v>SRC-013</x:v>
      </x:c>
      <x:c r="C43" s="11" t="str">
        <x:v>opportunites_qualifiees</x:v>
      </x:c>
      <x:c r="D43" s="11" t="n">
        <x:v>2400</x:v>
      </x:c>
      <x:c r="E43" s="11" t="str">
        <x:v>number</x:v>
      </x:c>
      <x:c r="F43" s="11" t="str"/>
      <x:c r="G43" s="11" t="str">
        <x:v>2026-08 / état au 2026-09-20</x:v>
      </x:c>
      <x:c r="H43" s="11" t="str">
        <x:v>SYNTHETIQUE</x:v>
      </x:c>
    </x:row>
    <x:row r="44" ht="28" customHeight="1">
      <x:c r="A44" s="10" t="str">
        <x:v>SRC-013-E3</x:v>
      </x:c>
      <x:c r="B44" s="10" t="str">
        <x:v>SRC-013</x:v>
      </x:c>
      <x:c r="C44" s="10" t="str">
        <x:v>contrats_signes</x:v>
      </x:c>
      <x:c r="D44" s="10" t="n">
        <x:v>720</x:v>
      </x:c>
      <x:c r="E44" s="10" t="str">
        <x:v>number</x:v>
      </x:c>
      <x:c r="F44" s="10" t="str"/>
      <x:c r="G44" s="10" t="str">
        <x:v>2026-08 / état au 2026-09-20</x:v>
      </x:c>
      <x:c r="H44" s="10" t="str">
        <x:v>SYNTHETIQUE</x:v>
      </x:c>
    </x:row>
    <x:row r="45" ht="28" customHeight="1">
      <x:c r="A45" s="11" t="str">
        <x:v>SRC-014-E1</x:v>
      </x:c>
      <x:c r="B45" s="11" t="str">
        <x:v>SRC-014</x:v>
      </x:c>
      <x:c r="C45" s="11" t="str">
        <x:v>proposition</x:v>
      </x:c>
      <x:c r="D45" s="11" t="str">
        <x:v>Pack PME atelier</x:v>
      </x:c>
      <x:c r="E45" s="11" t="str">
        <x:v>string</x:v>
      </x:c>
      <x:c r="F45" s="11" t="str"/>
      <x:c r="G45" s="11" t="str">
        <x:v>2026-08 / état au 2026-09-20</x:v>
      </x:c>
      <x:c r="H45" s="11" t="str">
        <x:v>SYNTHETIQUE</x:v>
      </x:c>
    </x:row>
    <x:row r="46" ht="28" customHeight="1">
      <x:c r="A46" s="10" t="str">
        <x:v>SRC-014-E2</x:v>
      </x:c>
      <x:c r="B46" s="10" t="str">
        <x:v>SRC-014</x:v>
      </x:c>
      <x:c r="C46" s="10" t="str">
        <x:v>pieces</x:v>
      </x:c>
      <x:c r="D46" s="10" t="str">
        <x:v>Questionnaire; historique agrégé; visite risque</x:v>
      </x:c>
      <x:c r="E46" s="10" t="str">
        <x:v>string</x:v>
      </x:c>
      <x:c r="F46" s="10" t="str"/>
      <x:c r="G46" s="10" t="str">
        <x:v>2026-08 / état au 2026-09-20</x:v>
      </x:c>
      <x:c r="H46" s="10" t="str">
        <x:v>SYNTHETIQUE</x:v>
      </x:c>
    </x:row>
    <x:row r="47" ht="28" customHeight="1">
      <x:c r="A47" s="11" t="str">
        <x:v>SRC-014-E3</x:v>
      </x:c>
      <x:c r="B47" s="11" t="str">
        <x:v>SRC-014</x:v>
      </x:c>
      <x:c r="C47" s="11" t="str">
        <x:v>temps_preparation_minutes</x:v>
      </x:c>
      <x:c r="D47" s="11" t="n">
        <x:v>90</x:v>
      </x:c>
      <x:c r="E47" s="11" t="str">
        <x:v>number</x:v>
      </x:c>
      <x:c r="F47" s="11" t="str">
        <x:v>minutes</x:v>
      </x:c>
      <x:c r="G47" s="11" t="str">
        <x:v>2026-08 / état au 2026-09-20</x:v>
      </x:c>
      <x:c r="H47" s="11" t="str">
        <x:v>SYNTHETIQUE</x:v>
      </x:c>
    </x:row>
    <x:row r="48" ht="28" customHeight="1">
      <x:c r="A48" s="10" t="str">
        <x:v>SRC-015-E1</x:v>
      </x:c>
      <x:c r="B48" s="10" t="str">
        <x:v>SRC-015</x:v>
      </x:c>
      <x:c r="C48" s="10" t="str">
        <x:v>appel_offres</x:v>
      </x:c>
      <x:c r="D48" s="10" t="str">
        <x:v>Collectif entreprise fictive 2026</x:v>
      </x:c>
      <x:c r="E48" s="10" t="str">
        <x:v>string</x:v>
      </x:c>
      <x:c r="F48" s="10" t="str"/>
      <x:c r="G48" s="10" t="str">
        <x:v>2026-08 / état au 2026-09-20</x:v>
      </x:c>
      <x:c r="H48" s="10" t="str">
        <x:v>SYNTHETIQUE</x:v>
      </x:c>
    </x:row>
    <x:row r="49" ht="28" customHeight="1">
      <x:c r="A49" s="11" t="str">
        <x:v>SRC-015-E2</x:v>
      </x:c>
      <x:c r="B49" s="11" t="str">
        <x:v>SRC-015</x:v>
      </x:c>
      <x:c r="C49" s="11" t="str">
        <x:v>questions</x:v>
      </x:c>
      <x:c r="D49" s="11" t="n">
        <x:v>180</x:v>
      </x:c>
      <x:c r="E49" s="11" t="str">
        <x:v>number</x:v>
      </x:c>
      <x:c r="F49" s="11" t="str"/>
      <x:c r="G49" s="11" t="str">
        <x:v>2026-08 / état au 2026-09-20</x:v>
      </x:c>
      <x:c r="H49" s="11" t="str">
        <x:v>SYNTHETIQUE</x:v>
      </x:c>
    </x:row>
    <x:row r="50" ht="28" customHeight="1">
      <x:c r="A50" s="10" t="str">
        <x:v>SRC-015-E3</x:v>
      </x:c>
      <x:c r="B50" s="10" t="str">
        <x:v>SRC-015</x:v>
      </x:c>
      <x:c r="C50" s="10" t="str">
        <x:v>contributions_metiers</x:v>
      </x:c>
      <x:c r="D50" s="10" t="n">
        <x:v>5</x:v>
      </x:c>
      <x:c r="E50" s="10" t="str">
        <x:v>number</x:v>
      </x:c>
      <x:c r="F50" s="10" t="str"/>
      <x:c r="G50" s="10" t="str">
        <x:v>2026-08 / état au 2026-09-20</x:v>
      </x:c>
      <x:c r="H50" s="10" t="str">
        <x:v>SYNTHETIQUE</x:v>
      </x:c>
    </x:row>
    <x:row r="51" ht="28" customHeight="1">
      <x:c r="A51" s="11" t="str">
        <x:v>SRC-016-E1</x:v>
      </x:c>
      <x:c r="B51" s="11" t="str">
        <x:v>SRC-016</x:v>
      </x:c>
      <x:c r="C51" s="11" t="str">
        <x:v>reseau</x:v>
      </x:c>
      <x:c r="D51" s="11" t="str">
        <x:v>Agents et courtiers du périmètre pilote</x:v>
      </x:c>
      <x:c r="E51" s="11" t="str">
        <x:v>string</x:v>
      </x:c>
      <x:c r="F51" s="11" t="str"/>
      <x:c r="G51" s="11" t="str">
        <x:v>2026-08 / état au 2026-09-20</x:v>
      </x:c>
      <x:c r="H51" s="11" t="str">
        <x:v>SYNTHETIQUE</x:v>
      </x:c>
    </x:row>
    <x:row r="52" ht="28" customHeight="1">
      <x:c r="A52" s="10" t="str">
        <x:v>SRC-016-E2</x:v>
      </x:c>
      <x:c r="B52" s="10" t="str">
        <x:v>SRC-016</x:v>
      </x:c>
      <x:c r="C52" s="10" t="str">
        <x:v>partenaires</x:v>
      </x:c>
      <x:c r="D52" s="10" t="n">
        <x:v>240</x:v>
      </x:c>
      <x:c r="E52" s="10" t="str">
        <x:v>number</x:v>
      </x:c>
      <x:c r="F52" s="10" t="str"/>
      <x:c r="G52" s="10" t="str">
        <x:v>2026-08 / état au 2026-09-20</x:v>
      </x:c>
      <x:c r="H52" s="10" t="str">
        <x:v>SYNTHETIQUE</x:v>
      </x:c>
    </x:row>
    <x:row r="53" ht="28" customHeight="1">
      <x:c r="A53" s="11" t="str">
        <x:v>SRC-016-E3</x:v>
      </x:c>
      <x:c r="B53" s="11" t="str">
        <x:v>SRC-016</x:v>
      </x:c>
      <x:c r="C53" s="11" t="str">
        <x:v>canal_majoritaire</x:v>
      </x:c>
      <x:c r="D53" s="11" t="str">
        <x:v>Agent général</x:v>
      </x:c>
      <x:c r="E53" s="11" t="str">
        <x:v>string</x:v>
      </x:c>
      <x:c r="F53" s="11" t="str"/>
      <x:c r="G53" s="11" t="str">
        <x:v>2026-08 / état au 2026-09-20</x:v>
      </x:c>
      <x:c r="H53" s="11" t="str">
        <x:v>SYNTHETIQUE</x:v>
      </x:c>
    </x:row>
    <x:row r="54" ht="28" customHeight="1">
      <x:c r="A54" s="10" t="str">
        <x:v>SRC-017-E1</x:v>
      </x:c>
      <x:c r="B54" s="10" t="str">
        <x:v>SRC-017</x:v>
      </x:c>
      <x:c r="C54" s="10" t="str">
        <x:v>convention</x:v>
      </x:c>
      <x:c r="D54" s="10" t="str">
        <x:v>Distribution PME modèle D-2026</x:v>
      </x:c>
      <x:c r="E54" s="10" t="str">
        <x:v>string</x:v>
      </x:c>
      <x:c r="F54" s="10" t="str"/>
      <x:c r="G54" s="10" t="str">
        <x:v>2026-08 / état au 2026-09-20</x:v>
      </x:c>
      <x:c r="H54" s="10" t="str">
        <x:v>SYNTHETIQUE</x:v>
      </x:c>
    </x:row>
    <x:row r="55" ht="28" customHeight="1">
      <x:c r="A55" s="11" t="str">
        <x:v>SRC-017-E2</x:v>
      </x:c>
      <x:c r="B55" s="11" t="str">
        <x:v>SRC-017</x:v>
      </x:c>
      <x:c r="C55" s="11" t="str">
        <x:v>commission_base_pourcent</x:v>
      </x:c>
      <x:c r="D55" s="11" t="n">
        <x:v>12</x:v>
      </x:c>
      <x:c r="E55" s="11" t="str">
        <x:v>number</x:v>
      </x:c>
      <x:c r="F55" s="11" t="str">
        <x:v>pourcent</x:v>
      </x:c>
      <x:c r="G55" s="11" t="str">
        <x:v>2026-08 / état au 2026-09-20</x:v>
      </x:c>
      <x:c r="H55" s="11" t="str">
        <x:v>SYNTHETIQUE</x:v>
      </x:c>
    </x:row>
    <x:row r="56" ht="28" customHeight="1">
      <x:c r="A56" s="10" t="str">
        <x:v>SRC-017-E3</x:v>
      </x:c>
      <x:c r="B56" s="10" t="str">
        <x:v>SRC-017</x:v>
      </x:c>
      <x:c r="C56" s="10" t="str">
        <x:v>validation_derogation</x:v>
      </x:c>
      <x:c r="D56" s="10" t="str">
        <x:v>Direction réseau</x:v>
      </x:c>
      <x:c r="E56" s="10" t="str">
        <x:v>string</x:v>
      </x:c>
      <x:c r="F56" s="10" t="str"/>
      <x:c r="G56" s="10" t="str">
        <x:v>2026-08 / état au 2026-09-20</x:v>
      </x:c>
      <x:c r="H56" s="10" t="str">
        <x:v>SYNTHETIQUE</x:v>
      </x:c>
    </x:row>
    <x:row r="57" ht="28" customHeight="1">
      <x:c r="A57" s="11" t="str">
        <x:v>SRC-018-E1</x:v>
      </x:c>
      <x:c r="B57" s="11" t="str">
        <x:v>SRC-018</x:v>
      </x:c>
      <x:c r="C57" s="11" t="str">
        <x:v>campagne</x:v>
      </x:c>
      <x:c r="D57" s="11" t="str">
        <x:v>Habitation rentrée</x:v>
      </x:c>
      <x:c r="E57" s="11" t="str">
        <x:v>string</x:v>
      </x:c>
      <x:c r="F57" s="11" t="str"/>
      <x:c r="G57" s="11" t="str">
        <x:v>2026-08 / état au 2026-09-20</x:v>
      </x:c>
      <x:c r="H57" s="11" t="str">
        <x:v>SYNTHETIQUE</x:v>
      </x:c>
    </x:row>
    <x:row r="58" ht="28" customHeight="1">
      <x:c r="A58" s="10" t="str">
        <x:v>SRC-018-E2</x:v>
      </x:c>
      <x:c r="B58" s="10" t="str">
        <x:v>SRC-018</x:v>
      </x:c>
      <x:c r="C58" s="10" t="str">
        <x:v>depense_eur</x:v>
      </x:c>
      <x:c r="D58" s="10" t="n">
        <x:v>48000</x:v>
      </x:c>
      <x:c r="E58" s="10" t="str">
        <x:v>number</x:v>
      </x:c>
      <x:c r="F58" s="10" t="str">
        <x:v>EUR</x:v>
      </x:c>
      <x:c r="G58" s="10" t="str">
        <x:v>2026-08 / état au 2026-09-20</x:v>
      </x:c>
      <x:c r="H58" s="10" t="str">
        <x:v>SYNTHETIQUE</x:v>
      </x:c>
    </x:row>
    <x:row r="59" ht="28" customHeight="1">
      <x:c r="A59" s="11" t="str">
        <x:v>SRC-018-E3</x:v>
      </x:c>
      <x:c r="B59" s="11" t="str">
        <x:v>SRC-018</x:v>
      </x:c>
      <x:c r="C59" s="11" t="str">
        <x:v>contrats_attribues_modele_interne</x:v>
      </x:c>
      <x:c r="D59" s="11" t="n">
        <x:v>160</x:v>
      </x:c>
      <x:c r="E59" s="11" t="str">
        <x:v>number</x:v>
      </x:c>
      <x:c r="F59" s="11" t="str"/>
      <x:c r="G59" s="11" t="str">
        <x:v>2026-08 / état au 2026-09-20</x:v>
      </x:c>
      <x:c r="H59" s="11" t="str">
        <x:v>SYNTHETIQUE</x:v>
      </x:c>
    </x:row>
    <x:row r="60" ht="28" customHeight="1">
      <x:c r="A60" s="10" t="str">
        <x:v>SRC-019-E1</x:v>
      </x:c>
      <x:c r="B60" s="10" t="str">
        <x:v>SRC-019</x:v>
      </x:c>
      <x:c r="C60" s="10" t="str">
        <x:v>regle</x:v>
      </x:c>
      <x:c r="D60" s="10" t="str">
        <x:v>Risque professionnel hors délégation</x:v>
      </x:c>
      <x:c r="E60" s="10" t="str">
        <x:v>string</x:v>
      </x:c>
      <x:c r="F60" s="10" t="str"/>
      <x:c r="G60" s="10" t="str">
        <x:v>2026-08 / état au 2026-09-20</x:v>
      </x:c>
      <x:c r="H60" s="10" t="str">
        <x:v>SYNTHETIQUE</x:v>
      </x:c>
    </x:row>
    <x:row r="61" ht="28" customHeight="1">
      <x:c r="A61" s="11" t="str">
        <x:v>SRC-019-E2</x:v>
      </x:c>
      <x:c r="B61" s="11" t="str">
        <x:v>SRC-019</x:v>
      </x:c>
      <x:c r="C61" s="11" t="str">
        <x:v>declencheur</x:v>
      </x:c>
      <x:c r="D61" s="11" t="str">
        <x:v>Stock matières inflammables supérieur au seuil interne</x:v>
      </x:c>
      <x:c r="E61" s="11" t="str">
        <x:v>string</x:v>
      </x:c>
      <x:c r="F61" s="11" t="str"/>
      <x:c r="G61" s="11" t="str">
        <x:v>2026-08 / état au 2026-09-20</x:v>
      </x:c>
      <x:c r="H61" s="11" t="str">
        <x:v>SYNTHETIQUE</x:v>
      </x:c>
    </x:row>
    <x:row r="62" ht="28" customHeight="1">
      <x:c r="A62" s="10" t="str">
        <x:v>SRC-019-E3</x:v>
      </x:c>
      <x:c r="B62" s="10" t="str">
        <x:v>SRC-019</x:v>
      </x:c>
      <x:c r="C62" s="10" t="str">
        <x:v>action</x:v>
      </x:c>
      <x:c r="D62" s="10" t="str">
        <x:v>Escalade au souscripteur expert</x:v>
      </x:c>
      <x:c r="E62" s="10" t="str">
        <x:v>string</x:v>
      </x:c>
      <x:c r="F62" s="10" t="str"/>
      <x:c r="G62" s="10" t="str">
        <x:v>2026-08 / état au 2026-09-20</x:v>
      </x:c>
      <x:c r="H62" s="10" t="str">
        <x:v>SYNTHETIQUE</x:v>
      </x:c>
    </x:row>
    <x:row r="63" ht="28" customHeight="1">
      <x:c r="A63" s="11" t="str">
        <x:v>SRC-020-E1</x:v>
      </x:c>
      <x:c r="B63" s="11" t="str">
        <x:v>SRC-020</x:v>
      </x:c>
      <x:c r="C63" s="11" t="str">
        <x:v>moteur</x:v>
      </x:c>
      <x:c r="D63" s="11" t="str">
        <x:v>TarifPro</x:v>
      </x:c>
      <x:c r="E63" s="11" t="str">
        <x:v>string</x:v>
      </x:c>
      <x:c r="F63" s="11" t="str"/>
      <x:c r="G63" s="11" t="str">
        <x:v>2026-08 / état au 2026-09-20</x:v>
      </x:c>
      <x:c r="H63" s="11" t="str">
        <x:v>SYNTHETIQUE</x:v>
      </x:c>
    </x:row>
    <x:row r="64" ht="28" customHeight="1">
      <x:c r="A64" s="10" t="str">
        <x:v>SRC-020-E2</x:v>
      </x:c>
      <x:c r="B64" s="10" t="str">
        <x:v>SRC-020</x:v>
      </x:c>
      <x:c r="C64" s="10" t="str">
        <x:v>version</x:v>
      </x:c>
      <x:c r="D64" s="10" t="n">
        <x:v>4.2</x:v>
      </x:c>
      <x:c r="E64" s="10" t="str">
        <x:v>number</x:v>
      </x:c>
      <x:c r="F64" s="10" t="str"/>
      <x:c r="G64" s="10" t="str">
        <x:v>2026-08 / état au 2026-09-20</x:v>
      </x:c>
      <x:c r="H64" s="10" t="str">
        <x:v>SYNTHETIQUE</x:v>
      </x:c>
    </x:row>
    <x:row r="65" ht="28" customHeight="1">
      <x:c r="A65" s="11" t="str">
        <x:v>SRC-020-E3</x:v>
      </x:c>
      <x:c r="B65" s="11" t="str">
        <x:v>SRC-020</x:v>
      </x:c>
      <x:c r="C65" s="11" t="str">
        <x:v>controle</x:v>
      </x:c>
      <x:c r="D65" s="11" t="str">
        <x:v>Double validation des modifications de barème</x:v>
      </x:c>
      <x:c r="E65" s="11" t="str">
        <x:v>string</x:v>
      </x:c>
      <x:c r="F65" s="11" t="str"/>
      <x:c r="G65" s="11" t="str">
        <x:v>2026-08 / état au 2026-09-20</x:v>
      </x:c>
      <x:c r="H65" s="11" t="str">
        <x:v>SYNTHETIQUE</x:v>
      </x:c>
    </x:row>
    <x:row r="66" ht="28" customHeight="1">
      <x:c r="A66" s="10" t="str">
        <x:v>SRC-021-E1</x:v>
      </x:c>
      <x:c r="B66" s="10" t="str">
        <x:v>SRC-021</x:v>
      </x:c>
      <x:c r="C66" s="10" t="str">
        <x:v>questionnaire</x:v>
      </x:c>
      <x:c r="D66" s="10" t="str">
        <x:v>Risque PME incendie</x:v>
      </x:c>
      <x:c r="E66" s="10" t="str">
        <x:v>string</x:v>
      </x:c>
      <x:c r="F66" s="10" t="str"/>
      <x:c r="G66" s="10" t="str">
        <x:v>2026-08 / état au 2026-09-20</x:v>
      </x:c>
      <x:c r="H66" s="10" t="str">
        <x:v>SYNTHETIQUE</x:v>
      </x:c>
    </x:row>
    <x:row r="67" ht="28" customHeight="1">
      <x:c r="A67" s="11" t="str">
        <x:v>SRC-021-E2</x:v>
      </x:c>
      <x:c r="B67" s="11" t="str">
        <x:v>SRC-021</x:v>
      </x:c>
      <x:c r="C67" s="11" t="str">
        <x:v>champs_obligatoires</x:v>
      </x:c>
      <x:c r="D67" s="11" t="n">
        <x:v>18</x:v>
      </x:c>
      <x:c r="E67" s="11" t="str">
        <x:v>number</x:v>
      </x:c>
      <x:c r="F67" s="11" t="str"/>
      <x:c r="G67" s="11" t="str">
        <x:v>2026-08 / état au 2026-09-20</x:v>
      </x:c>
      <x:c r="H67" s="11" t="str">
        <x:v>SYNTHETIQUE</x:v>
      </x:c>
    </x:row>
    <x:row r="68" ht="28" customHeight="1">
      <x:c r="A68" s="10" t="str">
        <x:v>SRC-021-E3</x:v>
      </x:c>
      <x:c r="B68" s="10" t="str">
        <x:v>SRC-021</x:v>
      </x:c>
      <x:c r="C68" s="10" t="str">
        <x:v>pieces_requises</x:v>
      </x:c>
      <x:c r="D68" s="10" t="str">
        <x:v>Questionnaire signé et rapport de prévention</x:v>
      </x:c>
      <x:c r="E68" s="10" t="str">
        <x:v>string</x:v>
      </x:c>
      <x:c r="F68" s="10" t="str"/>
      <x:c r="G68" s="10" t="str">
        <x:v>2026-08 / état au 2026-09-20</x:v>
      </x:c>
      <x:c r="H68" s="10" t="str">
        <x:v>SYNTHETIQUE</x:v>
      </x:c>
    </x:row>
    <x:row r="69" ht="28" customHeight="1">
      <x:c r="A69" s="11" t="str">
        <x:v>SRC-022-E1</x:v>
      </x:c>
      <x:c r="B69" s="11" t="str">
        <x:v>SRC-022</x:v>
      </x:c>
      <x:c r="C69" s="11" t="str">
        <x:v>dossier</x:v>
      </x:c>
      <x:c r="D69" s="11" t="str">
        <x:v>SOU-FICT-001</x:v>
      </x:c>
      <x:c r="E69" s="11" t="str">
        <x:v>string</x:v>
      </x:c>
      <x:c r="F69" s="11" t="str"/>
      <x:c r="G69" s="11" t="str">
        <x:v>2026-08 / état au 2026-09-20</x:v>
      </x:c>
      <x:c r="H69" s="11" t="str">
        <x:v>SYNTHETIQUE</x:v>
      </x:c>
    </x:row>
    <x:row r="70" ht="28" customHeight="1">
      <x:c r="A70" s="10" t="str">
        <x:v>SRC-022-E2</x:v>
      </x:c>
      <x:c r="B70" s="10" t="str">
        <x:v>SRC-022</x:v>
      </x:c>
      <x:c r="C70" s="10" t="str">
        <x:v>etat</x:v>
      </x:c>
      <x:c r="D70" s="10" t="str">
        <x:v>Pièce de prévention manquante</x:v>
      </x:c>
      <x:c r="E70" s="10" t="str">
        <x:v>string</x:v>
      </x:c>
      <x:c r="F70" s="10" t="str"/>
      <x:c r="G70" s="10" t="str">
        <x:v>2026-08 / état au 2026-09-20</x:v>
      </x:c>
      <x:c r="H70" s="10" t="str">
        <x:v>SYNTHETIQUE</x:v>
      </x:c>
    </x:row>
    <x:row r="71" ht="28" customHeight="1">
      <x:c r="A71" s="11" t="str">
        <x:v>SRC-022-E3</x:v>
      </x:c>
      <x:c r="B71" s="11" t="str">
        <x:v>SRC-022</x:v>
      </x:c>
      <x:c r="C71" s="11" t="str">
        <x:v>action</x:v>
      </x:c>
      <x:c r="D71" s="11" t="str">
        <x:v>Demande complémentaire au courtier</x:v>
      </x:c>
      <x:c r="E71" s="11" t="str">
        <x:v>string</x:v>
      </x:c>
      <x:c r="F71" s="11" t="str"/>
      <x:c r="G71" s="11" t="str">
        <x:v>2026-08 / état au 2026-09-20</x:v>
      </x:c>
      <x:c r="H71" s="11" t="str">
        <x:v>SYNTHETIQUE</x:v>
      </x:c>
    </x:row>
    <x:row r="72" ht="28" customHeight="1">
      <x:c r="A72" s="10" t="str">
        <x:v>SRC-023-E1</x:v>
      </x:c>
      <x:c r="B72" s="10" t="str">
        <x:v>SRC-023</x:v>
      </x:c>
      <x:c r="C72" s="10" t="str">
        <x:v>mois</x:v>
      </x:c>
      <x:c r="D72" s="10" t="str">
        <x:v>2026-08</x:v>
      </x:c>
      <x:c r="E72" s="10" t="str">
        <x:v>string</x:v>
      </x:c>
      <x:c r="F72" s="10" t="str"/>
      <x:c r="G72" s="10" t="str">
        <x:v>2026-08 / état au 2026-09-20</x:v>
      </x:c>
      <x:c r="H72" s="10" t="str">
        <x:v>SYNTHETIQUE</x:v>
      </x:c>
    </x:row>
    <x:row r="73" ht="28" customHeight="1">
      <x:c r="A73" s="11" t="str">
        <x:v>SRC-023-E2</x:v>
      </x:c>
      <x:c r="B73" s="11" t="str">
        <x:v>SRC-023</x:v>
      </x:c>
      <x:c r="C73" s="11" t="str">
        <x:v>decisions</x:v>
      </x:c>
      <x:c r="D73" s="11" t="n">
        <x:v>1600</x:v>
      </x:c>
      <x:c r="E73" s="11" t="str">
        <x:v>number</x:v>
      </x:c>
      <x:c r="F73" s="11" t="str"/>
      <x:c r="G73" s="11" t="str">
        <x:v>2026-08 / état au 2026-09-20</x:v>
      </x:c>
      <x:c r="H73" s="11" t="str">
        <x:v>SYNTHETIQUE</x:v>
      </x:c>
    </x:row>
    <x:row r="74" ht="28" customHeight="1">
      <x:c r="A74" s="10" t="str">
        <x:v>SRC-023-E3</x:v>
      </x:c>
      <x:c r="B74" s="10" t="str">
        <x:v>SRC-023</x:v>
      </x:c>
      <x:c r="C74" s="10" t="str">
        <x:v>derogations</x:v>
      </x:c>
      <x:c r="D74" s="10" t="n">
        <x:v>96</x:v>
      </x:c>
      <x:c r="E74" s="10" t="str">
        <x:v>number</x:v>
      </x:c>
      <x:c r="F74" s="10" t="str"/>
      <x:c r="G74" s="10" t="str">
        <x:v>2026-08 / état au 2026-09-20</x:v>
      </x:c>
      <x:c r="H74" s="10" t="str">
        <x:v>SYNTHETIQUE</x:v>
      </x:c>
    </x:row>
    <x:row r="75" ht="28" customHeight="1">
      <x:c r="A75" s="11" t="str">
        <x:v>SRC-024-E1</x:v>
      </x:c>
      <x:c r="B75" s="11" t="str">
        <x:v>SRC-024</x:v>
      </x:c>
      <x:c r="C75" s="11" t="str">
        <x:v>rapport</x:v>
      </x:c>
      <x:c r="D75" s="11" t="str">
        <x:v>VIS-FICT-014</x:v>
      </x:c>
      <x:c r="E75" s="11" t="str">
        <x:v>string</x:v>
      </x:c>
      <x:c r="F75" s="11" t="str"/>
      <x:c r="G75" s="11" t="str">
        <x:v>2026-08 / état au 2026-09-20</x:v>
      </x:c>
      <x:c r="H75" s="11" t="str">
        <x:v>SYNTHETIQUE</x:v>
      </x:c>
    </x:row>
    <x:row r="76" ht="28" customHeight="1">
      <x:c r="A76" s="10" t="str">
        <x:v>SRC-024-E2</x:v>
      </x:c>
      <x:c r="B76" s="10" t="str">
        <x:v>SRC-024</x:v>
      </x:c>
      <x:c r="C76" s="10" t="str">
        <x:v>observation</x:v>
      </x:c>
      <x:c r="D76" s="10" t="str">
        <x:v>Protection incendie partielle</x:v>
      </x:c>
      <x:c r="E76" s="10" t="str">
        <x:v>string</x:v>
      </x:c>
      <x:c r="F76" s="10" t="str"/>
      <x:c r="G76" s="10" t="str">
        <x:v>2026-08 / état au 2026-09-20</x:v>
      </x:c>
      <x:c r="H76" s="10" t="str">
        <x:v>SYNTHETIQUE</x:v>
      </x:c>
    </x:row>
    <x:row r="77" ht="28" customHeight="1">
      <x:c r="A77" s="11" t="str">
        <x:v>SRC-024-E3</x:v>
      </x:c>
      <x:c r="B77" s="11" t="str">
        <x:v>SRC-024</x:v>
      </x:c>
      <x:c r="C77" s="11" t="str">
        <x:v>decision</x:v>
      </x:c>
      <x:c r="D77" s="11" t="str">
        <x:v>Demander un plan de correction avant acceptation</x:v>
      </x:c>
      <x:c r="E77" s="11" t="str">
        <x:v>string</x:v>
      </x:c>
      <x:c r="F77" s="11" t="str"/>
      <x:c r="G77" s="11" t="str">
        <x:v>2026-08 / état au 2026-09-20</x:v>
      </x:c>
      <x:c r="H77" s="11" t="str">
        <x:v>SYNTHETIQUE</x:v>
      </x:c>
    </x:row>
    <x:row r="78" ht="28" customHeight="1">
      <x:c r="A78" s="10" t="str">
        <x:v>SRC-025-E1</x:v>
      </x:c>
      <x:c r="B78" s="10" t="str">
        <x:v>SRC-025</x:v>
      </x:c>
      <x:c r="C78" s="10" t="str">
        <x:v>objet</x:v>
      </x:c>
      <x:c r="D78" s="10" t="str">
        <x:v>Contrat</x:v>
      </x:c>
      <x:c r="E78" s="10" t="str">
        <x:v>string</x:v>
      </x:c>
      <x:c r="F78" s="10" t="str"/>
      <x:c r="G78" s="10" t="str">
        <x:v>2026-08 / état au 2026-09-20</x:v>
      </x:c>
      <x:c r="H78" s="10" t="str">
        <x:v>SYNTHETIQUE</x:v>
      </x:c>
    </x:row>
    <x:row r="79" ht="28" customHeight="1">
      <x:c r="A79" s="11" t="str">
        <x:v>SRC-025-E2</x:v>
      </x:c>
      <x:c r="B79" s="11" t="str">
        <x:v>SRC-025</x:v>
      </x:c>
      <x:c r="C79" s="11" t="str">
        <x:v>cles</x:v>
      </x:c>
      <x:c r="D79" s="11" t="str">
        <x:v>contract_id; product_id; channel_id</x:v>
      </x:c>
      <x:c r="E79" s="11" t="str">
        <x:v>string</x:v>
      </x:c>
      <x:c r="F79" s="11" t="str"/>
      <x:c r="G79" s="11" t="str">
        <x:v>2026-08 / état au 2026-09-20</x:v>
      </x:c>
      <x:c r="H79" s="11" t="str">
        <x:v>SYNTHETIQUE</x:v>
      </x:c>
    </x:row>
    <x:row r="80" ht="28" customHeight="1">
      <x:c r="A80" s="10" t="str">
        <x:v>SRC-025-E3</x:v>
      </x:c>
      <x:c r="B80" s="10" t="str">
        <x:v>SRC-025</x:v>
      </x:c>
      <x:c r="C80" s="10" t="str">
        <x:v>donnees_personnelles_exportees</x:v>
      </x:c>
      <x:c r="D80" s="10" t="str">
        <x:v>Non</x:v>
      </x:c>
      <x:c r="E80" s="10" t="str">
        <x:v>string</x:v>
      </x:c>
      <x:c r="F80" s="10" t="str"/>
      <x:c r="G80" s="10" t="str">
        <x:v>2026-08 / état au 2026-09-20</x:v>
      </x:c>
      <x:c r="H80" s="10" t="str">
        <x:v>SYNTHETIQUE</x:v>
      </x:c>
    </x:row>
    <x:row r="81" ht="28" customHeight="1">
      <x:c r="A81" s="11" t="str">
        <x:v>SRC-026-E1</x:v>
      </x:c>
      <x:c r="B81" s="11" t="str">
        <x:v>SRC-026</x:v>
      </x:c>
      <x:c r="C81" s="11" t="str">
        <x:v>operation</x:v>
      </x:c>
      <x:c r="D81" s="11" t="str">
        <x:v>Avenant changement de garantie</x:v>
      </x:c>
      <x:c r="E81" s="11" t="str">
        <x:v>string</x:v>
      </x:c>
      <x:c r="F81" s="11" t="str"/>
      <x:c r="G81" s="11" t="str">
        <x:v>2026-08 / état au 2026-09-20</x:v>
      </x:c>
      <x:c r="H81" s="11" t="str">
        <x:v>SYNTHETIQUE</x:v>
      </x:c>
    </x:row>
    <x:row r="82" ht="28" customHeight="1">
      <x:c r="A82" s="10" t="str">
        <x:v>SRC-026-E2</x:v>
      </x:c>
      <x:c r="B82" s="10" t="str">
        <x:v>SRC-026</x:v>
      </x:c>
      <x:c r="C82" s="10" t="str">
        <x:v>validation</x:v>
      </x:c>
      <x:c r="D82" s="10" t="str">
        <x:v>Gestionnaire contrats</x:v>
      </x:c>
      <x:c r="E82" s="10" t="str">
        <x:v>string</x:v>
      </x:c>
      <x:c r="F82" s="10" t="str"/>
      <x:c r="G82" s="10" t="str">
        <x:v>2026-08 / état au 2026-09-20</x:v>
      </x:c>
      <x:c r="H82" s="10" t="str">
        <x:v>SYNTHETIQUE</x:v>
      </x:c>
    </x:row>
    <x:row r="83" ht="28" customHeight="1">
      <x:c r="A83" s="11" t="str">
        <x:v>SRC-026-E3</x:v>
      </x:c>
      <x:c r="B83" s="11" t="str">
        <x:v>SRC-026</x:v>
      </x:c>
      <x:c r="C83" s="11" t="str">
        <x:v>controle</x:v>
      </x:c>
      <x:c r="D83" s="11" t="str">
        <x:v>Comparaison ancienne et nouvelle couverture</x:v>
      </x:c>
      <x:c r="E83" s="11" t="str">
        <x:v>string</x:v>
      </x:c>
      <x:c r="F83" s="11" t="str"/>
      <x:c r="G83" s="11" t="str">
        <x:v>2026-08 / état au 2026-09-20</x:v>
      </x:c>
      <x:c r="H83" s="11" t="str">
        <x:v>SYNTHETIQUE</x:v>
      </x:c>
    </x:row>
    <x:row r="84" ht="28" customHeight="1">
      <x:c r="A84" s="10" t="str">
        <x:v>SRC-027-E1</x:v>
      </x:c>
      <x:c r="B84" s="10" t="str">
        <x:v>SRC-027</x:v>
      </x:c>
      <x:c r="C84" s="10" t="str">
        <x:v>mois</x:v>
      </x:c>
      <x:c r="D84" s="10" t="str">
        <x:v>2026-08</x:v>
      </x:c>
      <x:c r="E84" s="10" t="str">
        <x:v>string</x:v>
      </x:c>
      <x:c r="F84" s="10" t="str"/>
      <x:c r="G84" s="10" t="str">
        <x:v>2026-08 / état au 2026-09-20</x:v>
      </x:c>
      <x:c r="H84" s="10" t="str">
        <x:v>SYNTHETIQUE</x:v>
      </x:c>
    </x:row>
    <x:row r="85" ht="28" customHeight="1">
      <x:c r="A85" s="11" t="str">
        <x:v>SRC-027-E2</x:v>
      </x:c>
      <x:c r="B85" s="11" t="str">
        <x:v>SRC-027</x:v>
      </x:c>
      <x:c r="C85" s="11" t="str">
        <x:v>avenants</x:v>
      </x:c>
      <x:c r="D85" s="11" t="n">
        <x:v>4200</x:v>
      </x:c>
      <x:c r="E85" s="11" t="str">
        <x:v>number</x:v>
      </x:c>
      <x:c r="F85" s="11" t="str"/>
      <x:c r="G85" s="11" t="str">
        <x:v>2026-08 / état au 2026-09-20</x:v>
      </x:c>
      <x:c r="H85" s="11" t="str">
        <x:v>SYNTHETIQUE</x:v>
      </x:c>
    </x:row>
    <x:row r="86" ht="28" customHeight="1">
      <x:c r="A86" s="10" t="str">
        <x:v>SRC-027-E3</x:v>
      </x:c>
      <x:c r="B86" s="10" t="str">
        <x:v>SRC-027</x:v>
      </x:c>
      <x:c r="C86" s="10" t="str">
        <x:v>reprises</x:v>
      </x:c>
      <x:c r="D86" s="10" t="n">
        <x:v>336</x:v>
      </x:c>
      <x:c r="E86" s="10" t="str">
        <x:v>number</x:v>
      </x:c>
      <x:c r="F86" s="10" t="str"/>
      <x:c r="G86" s="10" t="str">
        <x:v>2026-08 / état au 2026-09-20</x:v>
      </x:c>
      <x:c r="H86" s="10" t="str">
        <x:v>SYNTHETIQUE</x:v>
      </x:c>
    </x:row>
    <x:row r="87" ht="28" customHeight="1">
      <x:c r="A87" s="11" t="str">
        <x:v>SRC-028-E1</x:v>
      </x:c>
      <x:c r="B87" s="11" t="str">
        <x:v>SRC-028</x:v>
      </x:c>
      <x:c r="C87" s="11" t="str">
        <x:v>modele</x:v>
      </x:c>
      <x:c r="D87" s="11" t="str">
        <x:v>Relance pièce manquante</x:v>
      </x:c>
      <x:c r="E87" s="11" t="str">
        <x:v>string</x:v>
      </x:c>
      <x:c r="F87" s="11" t="str"/>
      <x:c r="G87" s="11" t="str">
        <x:v>2026-08 / état au 2026-09-20</x:v>
      </x:c>
      <x:c r="H87" s="11" t="str">
        <x:v>SYNTHETIQUE</x:v>
      </x:c>
    </x:row>
    <x:row r="88" ht="28" customHeight="1">
      <x:c r="A88" s="10" t="str">
        <x:v>SRC-028-E2</x:v>
      </x:c>
      <x:c r="B88" s="10" t="str">
        <x:v>SRC-028</x:v>
      </x:c>
      <x:c r="C88" s="10" t="str">
        <x:v>version</x:v>
      </x:c>
      <x:c r="D88" s="10" t="str">
        <x:v>COUR-2026.3</x:v>
      </x:c>
      <x:c r="E88" s="10" t="str">
        <x:v>string</x:v>
      </x:c>
      <x:c r="F88" s="10" t="str"/>
      <x:c r="G88" s="10" t="str">
        <x:v>2026-08 / état au 2026-09-20</x:v>
      </x:c>
      <x:c r="H88" s="10" t="str">
        <x:v>SYNTHETIQUE</x:v>
      </x:c>
    </x:row>
    <x:row r="89" ht="28" customHeight="1">
      <x:c r="A89" s="11" t="str">
        <x:v>SRC-028-E3</x:v>
      </x:c>
      <x:c r="B89" s="11" t="str">
        <x:v>SRC-028</x:v>
      </x:c>
      <x:c r="C89" s="11" t="str">
        <x:v>canaux</x:v>
      </x:c>
      <x:c r="D89" s="11" t="str">
        <x:v>Courriel et espace client</x:v>
      </x:c>
      <x:c r="E89" s="11" t="str">
        <x:v>string</x:v>
      </x:c>
      <x:c r="F89" s="11" t="str"/>
      <x:c r="G89" s="11" t="str">
        <x:v>2026-08 / état au 2026-09-20</x:v>
      </x:c>
      <x:c r="H89" s="11" t="str">
        <x:v>SYNTHETIQUE</x:v>
      </x:c>
    </x:row>
    <x:row r="90" ht="28" customHeight="1">
      <x:c r="A90" s="10" t="str">
        <x:v>SRC-029-E1</x:v>
      </x:c>
      <x:c r="B90" s="10" t="str">
        <x:v>SRC-029</x:v>
      </x:c>
      <x:c r="C90" s="10" t="str">
        <x:v>mois</x:v>
      </x:c>
      <x:c r="D90" s="10" t="str">
        <x:v>2026-08</x:v>
      </x:c>
      <x:c r="E90" s="10" t="str">
        <x:v>string</x:v>
      </x:c>
      <x:c r="F90" s="10" t="str"/>
      <x:c r="G90" s="10" t="str">
        <x:v>2026-08 / état au 2026-09-20</x:v>
      </x:c>
      <x:c r="H90" s="10" t="str">
        <x:v>SYNTHETIQUE</x:v>
      </x:c>
    </x:row>
    <x:row r="91" ht="28" customHeight="1">
      <x:c r="A91" s="11" t="str">
        <x:v>SRC-029-E2</x:v>
      </x:c>
      <x:c r="B91" s="11" t="str">
        <x:v>SRC-029</x:v>
      </x:c>
      <x:c r="C91" s="11" t="str">
        <x:v>prelevements</x:v>
      </x:c>
      <x:c r="D91" s="11" t="n">
        <x:v>98000</x:v>
      </x:c>
      <x:c r="E91" s="11" t="str">
        <x:v>number</x:v>
      </x:c>
      <x:c r="F91" s="11" t="str"/>
      <x:c r="G91" s="11" t="str">
        <x:v>2026-08 / état au 2026-09-20</x:v>
      </x:c>
      <x:c r="H91" s="11" t="str">
        <x:v>SYNTHETIQUE</x:v>
      </x:c>
    </x:row>
    <x:row r="92" ht="28" customHeight="1">
      <x:c r="A92" s="10" t="str">
        <x:v>SRC-029-E3</x:v>
      </x:c>
      <x:c r="B92" s="10" t="str">
        <x:v>SRC-029</x:v>
      </x:c>
      <x:c r="C92" s="10" t="str">
        <x:v>rejets</x:v>
      </x:c>
      <x:c r="D92" s="10" t="n">
        <x:v>1960</x:v>
      </x:c>
      <x:c r="E92" s="10" t="str">
        <x:v>number</x:v>
      </x:c>
      <x:c r="F92" s="10" t="str"/>
      <x:c r="G92" s="10" t="str">
        <x:v>2026-08 / état au 2026-09-20</x:v>
      </x:c>
      <x:c r="H92" s="10" t="str">
        <x:v>SYNTHETIQUE</x:v>
      </x:c>
    </x:row>
    <x:row r="93" ht="28" customHeight="1">
      <x:c r="A93" s="11" t="str">
        <x:v>SRC-030-E1</x:v>
      </x:c>
      <x:c r="B93" s="11" t="str">
        <x:v>SRC-030</x:v>
      </x:c>
      <x:c r="C93" s="11" t="str">
        <x:v>mois</x:v>
      </x:c>
      <x:c r="D93" s="11" t="str">
        <x:v>2026-08</x:v>
      </x:c>
      <x:c r="E93" s="11" t="str">
        <x:v>string</x:v>
      </x:c>
      <x:c r="F93" s="11" t="str"/>
      <x:c r="G93" s="11" t="str">
        <x:v>2026-08 / état au 2026-09-20</x:v>
      </x:c>
      <x:c r="H93" s="11" t="str">
        <x:v>SYNTHETIQUE</x:v>
      </x:c>
    </x:row>
    <x:row r="94" ht="28" customHeight="1">
      <x:c r="A94" s="10" t="str">
        <x:v>SRC-030-E2</x:v>
      </x:c>
      <x:c r="B94" s="10" t="str">
        <x:v>SRC-030</x:v>
      </x:c>
      <x:c r="C94" s="10" t="str">
        <x:v>parcours_signature</x:v>
      </x:c>
      <x:c r="D94" s="10" t="n">
        <x:v>5200</x:v>
      </x:c>
      <x:c r="E94" s="10" t="str">
        <x:v>number</x:v>
      </x:c>
      <x:c r="F94" s="10" t="str"/>
      <x:c r="G94" s="10" t="str">
        <x:v>2026-08 / état au 2026-09-20</x:v>
      </x:c>
      <x:c r="H94" s="10" t="str">
        <x:v>SYNTHETIQUE</x:v>
      </x:c>
    </x:row>
    <x:row r="95" ht="28" customHeight="1">
      <x:c r="A95" s="11" t="str">
        <x:v>SRC-030-E3</x:v>
      </x:c>
      <x:c r="B95" s="11" t="str">
        <x:v>SRC-030</x:v>
      </x:c>
      <x:c r="C95" s="11" t="str">
        <x:v>abandons</x:v>
      </x:c>
      <x:c r="D95" s="11" t="n">
        <x:v>416</x:v>
      </x:c>
      <x:c r="E95" s="11" t="str">
        <x:v>number</x:v>
      </x:c>
      <x:c r="F95" s="11" t="str"/>
      <x:c r="G95" s="11" t="str">
        <x:v>2026-08 / état au 2026-09-20</x:v>
      </x:c>
      <x:c r="H95" s="11" t="str">
        <x:v>SYNTHETIQUE</x:v>
      </x:c>
    </x:row>
    <x:row r="96" ht="28" customHeight="1">
      <x:c r="A96" s="10" t="str">
        <x:v>SRC-031-E1</x:v>
      </x:c>
      <x:c r="B96" s="10" t="str">
        <x:v>SRC-031</x:v>
      </x:c>
      <x:c r="C96" s="10" t="str">
        <x:v>processus</x:v>
      </x:c>
      <x:c r="D96" s="10" t="str">
        <x:v>Sinistres habitation</x:v>
      </x:c>
      <x:c r="E96" s="10" t="str">
        <x:v>string</x:v>
      </x:c>
      <x:c r="F96" s="10" t="str"/>
      <x:c r="G96" s="10" t="str">
        <x:v>2026-08 / état au 2026-09-20</x:v>
      </x:c>
      <x:c r="H96" s="10" t="str">
        <x:v>SYNTHETIQUE</x:v>
      </x:c>
    </x:row>
    <x:row r="97" ht="28" customHeight="1">
      <x:c r="A97" s="11" t="str">
        <x:v>SRC-031-E2</x:v>
      </x:c>
      <x:c r="B97" s="11" t="str">
        <x:v>SRC-031</x:v>
      </x:c>
      <x:c r="C97" s="11" t="str">
        <x:v>regle</x:v>
      </x:c>
      <x:c r="D97" s="11" t="str">
        <x:v>Instruction distincte de l'autorisation de paiement</x:v>
      </x:c>
      <x:c r="E97" s="11" t="str">
        <x:v>string</x:v>
      </x:c>
      <x:c r="F97" s="11" t="str"/>
      <x:c r="G97" s="11" t="str">
        <x:v>2026-08 / état au 2026-09-20</x:v>
      </x:c>
      <x:c r="H97" s="11" t="str">
        <x:v>SYNTHETIQUE</x:v>
      </x:c>
    </x:row>
    <x:row r="98" ht="28" customHeight="1">
      <x:c r="A98" s="10" t="str">
        <x:v>SRC-031-E3</x:v>
      </x:c>
      <x:c r="B98" s="10" t="str">
        <x:v>SRC-031</x:v>
      </x:c>
      <x:c r="C98" s="10" t="str">
        <x:v>controle</x:v>
      </x:c>
      <x:c r="D98" s="10" t="str">
        <x:v>Validation avant émission du virement</x:v>
      </x:c>
      <x:c r="E98" s="10" t="str">
        <x:v>string</x:v>
      </x:c>
      <x:c r="F98" s="10" t="str"/>
      <x:c r="G98" s="10" t="str">
        <x:v>2026-08 / état au 2026-09-20</x:v>
      </x:c>
      <x:c r="H98" s="10" t="str">
        <x:v>SYNTHETIQUE</x:v>
      </x:c>
    </x:row>
    <x:row r="99" ht="28" customHeight="1">
      <x:c r="A99" s="11" t="str">
        <x:v>SRC-032-E1</x:v>
      </x:c>
      <x:c r="B99" s="11" t="str">
        <x:v>SRC-032</x:v>
      </x:c>
      <x:c r="C99" s="11" t="str">
        <x:v>declaration</x:v>
      </x:c>
      <x:c r="D99" s="11" t="str">
        <x:v>SIN-FICT-0001</x:v>
      </x:c>
      <x:c r="E99" s="11" t="str">
        <x:v>string</x:v>
      </x:c>
      <x:c r="F99" s="11" t="str"/>
      <x:c r="G99" s="11" t="str">
        <x:v>2026-08 / état au 2026-09-20</x:v>
      </x:c>
      <x:c r="H99" s="11" t="str">
        <x:v>SYNTHETIQUE</x:v>
      </x:c>
    </x:row>
    <x:row r="100" ht="28" customHeight="1">
      <x:c r="A100" s="10" t="str">
        <x:v>SRC-032-E2</x:v>
      </x:c>
      <x:c r="B100" s="10" t="str">
        <x:v>SRC-032</x:v>
      </x:c>
      <x:c r="C100" s="10" t="str">
        <x:v>type</x:v>
      </x:c>
      <x:c r="D100" s="10" t="str">
        <x:v>Dégât des eaux</x:v>
      </x:c>
      <x:c r="E100" s="10" t="str">
        <x:v>string</x:v>
      </x:c>
      <x:c r="F100" s="10" t="str"/>
      <x:c r="G100" s="10" t="str">
        <x:v>2026-08 / état au 2026-09-20</x:v>
      </x:c>
      <x:c r="H100" s="10" t="str">
        <x:v>SYNTHETIQUE</x:v>
      </x:c>
    </x:row>
    <x:row r="101" ht="28" customHeight="1">
      <x:c r="A101" s="11" t="str">
        <x:v>SRC-032-E3</x:v>
      </x:c>
      <x:c r="B101" s="11" t="str">
        <x:v>SRC-032</x:v>
      </x:c>
      <x:c r="C101" s="11" t="str">
        <x:v>pieces</x:v>
      </x:c>
      <x:c r="D101" s="11" t="str">
        <x:v>Constat; devis; photographies synthétiques</x:v>
      </x:c>
      <x:c r="E101" s="11" t="str">
        <x:v>string</x:v>
      </x:c>
      <x:c r="F101" s="11" t="str"/>
      <x:c r="G101" s="11" t="str">
        <x:v>2026-08 / état au 2026-09-20</x:v>
      </x:c>
      <x:c r="H101" s="11" t="str">
        <x:v>SYNTHETIQUE</x:v>
      </x:c>
    </x:row>
    <x:row r="102" ht="28" customHeight="1">
      <x:c r="A102" s="10" t="str">
        <x:v>SRC-033-E1</x:v>
      </x:c>
      <x:c r="B102" s="10" t="str">
        <x:v>SRC-033</x:v>
      </x:c>
      <x:c r="C102" s="10" t="str">
        <x:v>dossier</x:v>
      </x:c>
      <x:c r="D102" s="10" t="str">
        <x:v>SIN-FICT-0001</x:v>
      </x:c>
      <x:c r="E102" s="10" t="str">
        <x:v>string</x:v>
      </x:c>
      <x:c r="F102" s="10" t="str"/>
      <x:c r="G102" s="10" t="str">
        <x:v>2026-08 / état au 2026-09-20</x:v>
      </x:c>
      <x:c r="H102" s="10" t="str">
        <x:v>SYNTHETIQUE</x:v>
      </x:c>
    </x:row>
    <x:row r="103" ht="28" customHeight="1">
      <x:c r="A103" s="11" t="str">
        <x:v>SRC-033-E2</x:v>
      </x:c>
      <x:c r="B103" s="11" t="str">
        <x:v>SRC-033</x:v>
      </x:c>
      <x:c r="C103" s="11" t="str">
        <x:v>situation</x:v>
      </x:c>
      <x:c r="D103" s="11" t="str">
        <x:v>Devis reçu et facture manquante</x:v>
      </x:c>
      <x:c r="E103" s="11" t="str">
        <x:v>string</x:v>
      </x:c>
      <x:c r="F103" s="11" t="str"/>
      <x:c r="G103" s="11" t="str">
        <x:v>2026-08 / état au 2026-09-20</x:v>
      </x:c>
      <x:c r="H103" s="11" t="str">
        <x:v>SYNTHETIQUE</x:v>
      </x:c>
    </x:row>
    <x:row r="104" ht="28" customHeight="1">
      <x:c r="A104" s="10" t="str">
        <x:v>SRC-033-E3</x:v>
      </x:c>
      <x:c r="B104" s="10" t="str">
        <x:v>SRC-033</x:v>
      </x:c>
      <x:c r="C104" s="10" t="str">
        <x:v>proposition</x:v>
      </x:c>
      <x:c r="D104" s="10" t="str">
        <x:v>Demander justificatif avant proposition définitive</x:v>
      </x:c>
      <x:c r="E104" s="10" t="str">
        <x:v>string</x:v>
      </x:c>
      <x:c r="F104" s="10" t="str"/>
      <x:c r="G104" s="10" t="str">
        <x:v>2026-08 / état au 2026-09-20</x:v>
      </x:c>
      <x:c r="H104" s="10" t="str">
        <x:v>SYNTHETIQUE</x:v>
      </x:c>
    </x:row>
    <x:row r="105" ht="28" customHeight="1">
      <x:c r="A105" s="11" t="str">
        <x:v>SRC-034-E1</x:v>
      </x:c>
      <x:c r="B105" s="11" t="str">
        <x:v>SRC-034</x:v>
      </x:c>
      <x:c r="C105" s="11" t="str">
        <x:v>corpus</x:v>
      </x:c>
      <x:c r="D105" s="11" t="str">
        <x:v>Photos de dommages synthétiques décrites par métadonnées</x:v>
      </x:c>
      <x:c r="E105" s="11" t="str">
        <x:v>string</x:v>
      </x:c>
      <x:c r="F105" s="11" t="str"/>
      <x:c r="G105" s="11" t="str">
        <x:v>2026-08 / état au 2026-09-20</x:v>
      </x:c>
      <x:c r="H105" s="11" t="str">
        <x:v>SYNTHETIQUE</x:v>
      </x:c>
    </x:row>
    <x:row r="106" ht="28" customHeight="1">
      <x:c r="A106" s="10" t="str">
        <x:v>SRC-034-E2</x:v>
      </x:c>
      <x:c r="B106" s="10" t="str">
        <x:v>SRC-034</x:v>
      </x:c>
      <x:c r="C106" s="10" t="str">
        <x:v>fichiers</x:v>
      </x:c>
      <x:c r="D106" s="10" t="n">
        <x:v>600</x:v>
      </x:c>
      <x:c r="E106" s="10" t="str">
        <x:v>number</x:v>
      </x:c>
      <x:c r="F106" s="10" t="str"/>
      <x:c r="G106" s="10" t="str">
        <x:v>2026-08 / état au 2026-09-20</x:v>
      </x:c>
      <x:c r="H106" s="10" t="str">
        <x:v>SYNTHETIQUE</x:v>
      </x:c>
    </x:row>
    <x:row r="107" ht="28" customHeight="1">
      <x:c r="A107" s="11" t="str">
        <x:v>SRC-034-E3</x:v>
      </x:c>
      <x:c r="B107" s="11" t="str">
        <x:v>SRC-034</x:v>
      </x:c>
      <x:c r="C107" s="11" t="str">
        <x:v>contenus_images_exportes</x:v>
      </x:c>
      <x:c r="D107" s="11" t="str">
        <x:v>Non</x:v>
      </x:c>
      <x:c r="E107" s="11" t="str">
        <x:v>string</x:v>
      </x:c>
      <x:c r="F107" s="11" t="str"/>
      <x:c r="G107" s="11" t="str">
        <x:v>2026-08 / état au 2026-09-20</x:v>
      </x:c>
      <x:c r="H107" s="11" t="str">
        <x:v>SYNTHETIQUE</x:v>
      </x:c>
    </x:row>
    <x:row r="108" ht="28" customHeight="1">
      <x:c r="A108" s="10" t="str">
        <x:v>SRC-035-E1</x:v>
      </x:c>
      <x:c r="B108" s="10" t="str">
        <x:v>SRC-035</x:v>
      </x:c>
      <x:c r="C108" s="10" t="str">
        <x:v>devis</x:v>
      </x:c>
      <x:c r="D108" s="10" t="str">
        <x:v>DEV-FICT-0001</x:v>
      </x:c>
      <x:c r="E108" s="10" t="str">
        <x:v>string</x:v>
      </x:c>
      <x:c r="F108" s="10" t="str"/>
      <x:c r="G108" s="10" t="str">
        <x:v>2026-08 / état au 2026-09-20</x:v>
      </x:c>
      <x:c r="H108" s="10" t="str">
        <x:v>SYNTHETIQUE</x:v>
      </x:c>
    </x:row>
    <x:row r="109" ht="28" customHeight="1">
      <x:c r="A109" s="11" t="str">
        <x:v>SRC-035-E2</x:v>
      </x:c>
      <x:c r="B109" s="11" t="str">
        <x:v>SRC-035</x:v>
      </x:c>
      <x:c r="C109" s="11" t="str">
        <x:v>montant_eur</x:v>
      </x:c>
      <x:c r="D109" s="11" t="n">
        <x:v>2450</x:v>
      </x:c>
      <x:c r="E109" s="11" t="str">
        <x:v>number</x:v>
      </x:c>
      <x:c r="F109" s="11" t="str">
        <x:v>EUR</x:v>
      </x:c>
      <x:c r="G109" s="11" t="str">
        <x:v>2026-08 / état au 2026-09-20</x:v>
      </x:c>
      <x:c r="H109" s="11" t="str">
        <x:v>SYNTHETIQUE</x:v>
      </x:c>
    </x:row>
    <x:row r="110" ht="28" customHeight="1">
      <x:c r="A110" s="10" t="str">
        <x:v>SRC-035-E3</x:v>
      </x:c>
      <x:c r="B110" s="10" t="str">
        <x:v>SRC-035</x:v>
      </x:c>
      <x:c r="C110" s="10" t="str">
        <x:v>ecart_facture_eur</x:v>
      </x:c>
      <x:c r="D110" s="10" t="n">
        <x:v>180</x:v>
      </x:c>
      <x:c r="E110" s="10" t="str">
        <x:v>number</x:v>
      </x:c>
      <x:c r="F110" s="10" t="str">
        <x:v>EUR</x:v>
      </x:c>
      <x:c r="G110" s="10" t="str">
        <x:v>2026-08 / état au 2026-09-20</x:v>
      </x:c>
      <x:c r="H110" s="10" t="str">
        <x:v>SYNTHETIQUE</x:v>
      </x:c>
    </x:row>
    <x:row r="111" ht="28" customHeight="1">
      <x:c r="A111" s="11" t="str">
        <x:v>SRC-036-E1</x:v>
      </x:c>
      <x:c r="B111" s="11" t="str">
        <x:v>SRC-036</x:v>
      </x:c>
      <x:c r="C111" s="11" t="str">
        <x:v>agent</x:v>
      </x:c>
      <x:c r="D111" s="11" t="str">
        <x:v>AI-002</x:v>
      </x:c>
      <x:c r="E111" s="11" t="str">
        <x:v>string</x:v>
      </x:c>
      <x:c r="F111" s="11" t="str"/>
      <x:c r="G111" s="11" t="str">
        <x:v>2026-08 / état au 2026-09-20</x:v>
      </x:c>
      <x:c r="H111" s="11" t="str">
        <x:v>SYNTHETIQUE</x:v>
      </x:c>
    </x:row>
    <x:row r="112" ht="28" customHeight="1">
      <x:c r="A112" s="10" t="str">
        <x:v>SRC-036-E2</x:v>
      </x:c>
      <x:c r="B112" s="10" t="str">
        <x:v>SRC-036</x:v>
      </x:c>
      <x:c r="C112" s="10" t="str">
        <x:v>paiement_autonome_autorise</x:v>
      </x:c>
      <x:c r="D112" s="10" t="str">
        <x:v>Non</x:v>
      </x:c>
      <x:c r="E112" s="10" t="str">
        <x:v>string</x:v>
      </x:c>
      <x:c r="F112" s="10" t="str"/>
      <x:c r="G112" s="10" t="str">
        <x:v>2026-08 / état au 2026-09-20</x:v>
      </x:c>
      <x:c r="H112" s="10" t="str">
        <x:v>SYNTHETIQUE</x:v>
      </x:c>
    </x:row>
    <x:row r="113" ht="28" customHeight="1">
      <x:c r="A113" s="11" t="str">
        <x:v>SRC-036-E3</x:v>
      </x:c>
      <x:c r="B113" s="11" t="str">
        <x:v>SRC-036</x:v>
      </x:c>
      <x:c r="C113" s="11" t="str">
        <x:v>seuil_validation_responsable_eur</x:v>
      </x:c>
      <x:c r="D113" s="11" t="n">
        <x:v>1500</x:v>
      </x:c>
      <x:c r="E113" s="11" t="str">
        <x:v>number</x:v>
      </x:c>
      <x:c r="F113" s="11" t="str">
        <x:v>EUR</x:v>
      </x:c>
      <x:c r="G113" s="11" t="str">
        <x:v>2026-08 / état au 2026-09-20</x:v>
      </x:c>
      <x:c r="H113" s="11" t="str">
        <x:v>SYNTHETIQUE</x:v>
      </x:c>
    </x:row>
    <x:row r="114" ht="28" customHeight="1">
      <x:c r="A114" s="10" t="str">
        <x:v>SRC-037-E1</x:v>
      </x:c>
      <x:c r="B114" s="10" t="str">
        <x:v>SRC-037</x:v>
      </x:c>
      <x:c r="C114" s="10" t="str">
        <x:v>mois</x:v>
      </x:c>
      <x:c r="D114" s="10" t="str">
        <x:v>2026-08</x:v>
      </x:c>
      <x:c r="E114" s="10" t="str">
        <x:v>string</x:v>
      </x:c>
      <x:c r="F114" s="10" t="str"/>
      <x:c r="G114" s="10" t="str">
        <x:v>2026-08 / état au 2026-09-20</x:v>
      </x:c>
      <x:c r="H114" s="10" t="str">
        <x:v>SYNTHETIQUE</x:v>
      </x:c>
    </x:row>
    <x:row r="115" ht="28" customHeight="1">
      <x:c r="A115" s="11" t="str">
        <x:v>SRC-037-E2</x:v>
      </x:c>
      <x:c r="B115" s="11" t="str">
        <x:v>SRC-037</x:v>
      </x:c>
      <x:c r="C115" s="11" t="str">
        <x:v>sinistres_habitation_ouverts</x:v>
      </x:c>
      <x:c r="D115" s="11" t="n">
        <x:v>3600</x:v>
      </x:c>
      <x:c r="E115" s="11" t="str">
        <x:v>number</x:v>
      </x:c>
      <x:c r="F115" s="11" t="str"/>
      <x:c r="G115" s="11" t="str">
        <x:v>2026-08 / état au 2026-09-20</x:v>
      </x:c>
      <x:c r="H115" s="11" t="str">
        <x:v>SYNTHETIQUE</x:v>
      </x:c>
    </x:row>
    <x:row r="116" ht="28" customHeight="1">
      <x:c r="A116" s="10" t="str">
        <x:v>SRC-037-E3</x:v>
      </x:c>
      <x:c r="B116" s="10" t="str">
        <x:v>SRC-037</x:v>
      </x:c>
      <x:c r="C116" s="10" t="str">
        <x:v>delai_median_reglement_jours</x:v>
      </x:c>
      <x:c r="D116" s="10" t="n">
        <x:v>11</x:v>
      </x:c>
      <x:c r="E116" s="10" t="str">
        <x:v>number</x:v>
      </x:c>
      <x:c r="F116" s="10" t="str">
        <x:v>jours</x:v>
      </x:c>
      <x:c r="G116" s="10" t="str">
        <x:v>2026-08 / état au 2026-09-20</x:v>
      </x:c>
      <x:c r="H116" s="10" t="str">
        <x:v>SYNTHETIQUE</x:v>
      </x:c>
    </x:row>
    <x:row r="117" ht="28" customHeight="1">
      <x:c r="A117" s="11" t="str">
        <x:v>SRC-038-E1</x:v>
      </x:c>
      <x:c r="B117" s="11" t="str">
        <x:v>SRC-038</x:v>
      </x:c>
      <x:c r="C117" s="11" t="str">
        <x:v>mois</x:v>
      </x:c>
      <x:c r="D117" s="11" t="str">
        <x:v>2026-08</x:v>
      </x:c>
      <x:c r="E117" s="11" t="str">
        <x:v>string</x:v>
      </x:c>
      <x:c r="F117" s="11" t="str"/>
      <x:c r="G117" s="11" t="str">
        <x:v>2026-08 / état au 2026-09-20</x:v>
      </x:c>
      <x:c r="H117" s="11" t="str">
        <x:v>SYNTHETIQUE</x:v>
      </x:c>
    </x:row>
    <x:row r="118" ht="28" customHeight="1">
      <x:c r="A118" s="10" t="str">
        <x:v>SRC-038-E2</x:v>
      </x:c>
      <x:c r="B118" s="10" t="str">
        <x:v>SRC-038</x:v>
      </x:c>
      <x:c r="C118" s="10" t="str">
        <x:v>recours_ouverts</x:v>
      </x:c>
      <x:c r="D118" s="10" t="n">
        <x:v>120</x:v>
      </x:c>
      <x:c r="E118" s="10" t="str">
        <x:v>number</x:v>
      </x:c>
      <x:c r="F118" s="10" t="str"/>
      <x:c r="G118" s="10" t="str">
        <x:v>2026-08 / état au 2026-09-20</x:v>
      </x:c>
      <x:c r="H118" s="10" t="str">
        <x:v>SYNTHETIQUE</x:v>
      </x:c>
    </x:row>
    <x:row r="119" ht="28" customHeight="1">
      <x:c r="A119" s="11" t="str">
        <x:v>SRC-038-E3</x:v>
      </x:c>
      <x:c r="B119" s="11" t="str">
        <x:v>SRC-038</x:v>
      </x:c>
      <x:c r="C119" s="11" t="str">
        <x:v>delai_median_traitement_jours</x:v>
      </x:c>
      <x:c r="D119" s="11" t="n">
        <x:v>45</x:v>
      </x:c>
      <x:c r="E119" s="11" t="str">
        <x:v>number</x:v>
      </x:c>
      <x:c r="F119" s="11" t="str">
        <x:v>jours</x:v>
      </x:c>
      <x:c r="G119" s="11" t="str">
        <x:v>2026-08 / état au 2026-09-20</x:v>
      </x:c>
      <x:c r="H119" s="11" t="str">
        <x:v>SYNTHETIQUE</x:v>
      </x:c>
    </x:row>
    <x:row r="120" ht="28" customHeight="1">
      <x:c r="A120" s="10" t="str">
        <x:v>SRC-039-E1</x:v>
      </x:c>
      <x:c r="B120" s="10" t="str">
        <x:v>SRC-039</x:v>
      </x:c>
      <x:c r="C120" s="10" t="str">
        <x:v>referentiel</x:v>
      </x:c>
      <x:c r="D120" s="10" t="str">
        <x:v>Garanties santé collectif</x:v>
      </x:c>
      <x:c r="E120" s="10" t="str">
        <x:v>string</x:v>
      </x:c>
      <x:c r="F120" s="10" t="str"/>
      <x:c r="G120" s="10" t="str">
        <x:v>2026-08 / état au 2026-09-20</x:v>
      </x:c>
      <x:c r="H120" s="10" t="str">
        <x:v>SYNTHETIQUE</x:v>
      </x:c>
    </x:row>
    <x:row r="121" ht="28" customHeight="1">
      <x:c r="A121" s="11" t="str">
        <x:v>SRC-039-E2</x:v>
      </x:c>
      <x:c r="B121" s="11" t="str">
        <x:v>SRC-039</x:v>
      </x:c>
      <x:c r="C121" s="11" t="str">
        <x:v>version</x:v>
      </x:c>
      <x:c r="D121" s="11" t="str">
        <x:v>SANT-2026.1</x:v>
      </x:c>
      <x:c r="E121" s="11" t="str">
        <x:v>string</x:v>
      </x:c>
      <x:c r="F121" s="11" t="str"/>
      <x:c r="G121" s="11" t="str">
        <x:v>2026-08 / état au 2026-09-20</x:v>
      </x:c>
      <x:c r="H121" s="11" t="str">
        <x:v>SYNTHETIQUE</x:v>
      </x:c>
    </x:row>
    <x:row r="122" ht="28" customHeight="1">
      <x:c r="A122" s="10" t="str">
        <x:v>SRC-039-E3</x:v>
      </x:c>
      <x:c r="B122" s="10" t="str">
        <x:v>SRC-039</x:v>
      </x:c>
      <x:c r="C122" s="10" t="str">
        <x:v>controle</x:v>
      </x:c>
      <x:c r="D122" s="10" t="str">
        <x:v>Vérification garantie et date d'effet</x:v>
      </x:c>
      <x:c r="E122" s="10" t="str">
        <x:v>string</x:v>
      </x:c>
      <x:c r="F122" s="10" t="str"/>
      <x:c r="G122" s="10" t="str">
        <x:v>2026-08 / état au 2026-09-20</x:v>
      </x:c>
      <x:c r="H122" s="10" t="str">
        <x:v>SYNTHETIQUE</x:v>
      </x:c>
    </x:row>
    <x:row r="123" ht="28" customHeight="1">
      <x:c r="A123" s="11" t="str">
        <x:v>SRC-040-E1</x:v>
      </x:c>
      <x:c r="B123" s="11" t="str">
        <x:v>SRC-040</x:v>
      </x:c>
      <x:c r="C123" s="11" t="str">
        <x:v>mois</x:v>
      </x:c>
      <x:c r="D123" s="11" t="str">
        <x:v>2026-08</x:v>
      </x:c>
      <x:c r="E123" s="11" t="str">
        <x:v>string</x:v>
      </x:c>
      <x:c r="F123" s="11" t="str"/>
      <x:c r="G123" s="11" t="str">
        <x:v>2026-08 / état au 2026-09-20</x:v>
      </x:c>
      <x:c r="H123" s="11" t="str">
        <x:v>SYNTHETIQUE</x:v>
      </x:c>
    </x:row>
    <x:row r="124" ht="28" customHeight="1">
      <x:c r="A124" s="10" t="str">
        <x:v>SRC-040-E2</x:v>
      </x:c>
      <x:c r="B124" s="10" t="str">
        <x:v>SRC-040</x:v>
      </x:c>
      <x:c r="C124" s="10" t="str">
        <x:v>flux_remboursement</x:v>
      </x:c>
      <x:c r="D124" s="10" t="n">
        <x:v>180000</x:v>
      </x:c>
      <x:c r="E124" s="10" t="str">
        <x:v>number</x:v>
      </x:c>
      <x:c r="F124" s="10" t="str"/>
      <x:c r="G124" s="10" t="str">
        <x:v>2026-08 / état au 2026-09-20</x:v>
      </x:c>
      <x:c r="H124" s="10" t="str">
        <x:v>SYNTHETIQUE</x:v>
      </x:c>
    </x:row>
    <x:row r="125" ht="28" customHeight="1">
      <x:c r="A125" s="11" t="str">
        <x:v>SRC-040-E3</x:v>
      </x:c>
      <x:c r="B125" s="11" t="str">
        <x:v>SRC-040</x:v>
      </x:c>
      <x:c r="C125" s="11" t="str">
        <x:v>rejets_techniques</x:v>
      </x:c>
      <x:c r="D125" s="11" t="n">
        <x:v>3600</x:v>
      </x:c>
      <x:c r="E125" s="11" t="str">
        <x:v>number</x:v>
      </x:c>
      <x:c r="F125" s="11" t="str"/>
      <x:c r="G125" s="11" t="str">
        <x:v>2026-08 / état au 2026-09-20</x:v>
      </x:c>
      <x:c r="H125" s="11" t="str">
        <x:v>SYNTHETIQUE</x:v>
      </x:c>
    </x:row>
    <x:row r="126" ht="28" customHeight="1">
      <x:c r="A126" s="10" t="str">
        <x:v>SRC-041-E1</x:v>
      </x:c>
      <x:c r="B126" s="10" t="str">
        <x:v>SRC-041</x:v>
      </x:c>
      <x:c r="C126" s="10" t="str">
        <x:v>type_source</x:v>
      </x:c>
      <x:c r="D126" s="10" t="str">
        <x:v>Pièces médicales</x:v>
      </x:c>
      <x:c r="E126" s="10" t="str">
        <x:v>string</x:v>
      </x:c>
      <x:c r="F126" s="10" t="str"/>
      <x:c r="G126" s="10" t="str">
        <x:v>2026-08 / état au 2026-09-20</x:v>
      </x:c>
      <x:c r="H126" s="10" t="str">
        <x:v>SYNTHETIQUE</x:v>
      </x:c>
    </x:row>
    <x:row r="127" ht="28" customHeight="1">
      <x:c r="A127" s="11" t="str">
        <x:v>SRC-041-E2</x:v>
      </x:c>
      <x:c r="B127" s="11" t="str">
        <x:v>SRC-041</x:v>
      </x:c>
      <x:c r="C127" s="11" t="str">
        <x:v>contenu_exporte</x:v>
      </x:c>
      <x:c r="D127" s="11" t="str">
        <x:v>Non</x:v>
      </x:c>
      <x:c r="E127" s="11" t="str">
        <x:v>string</x:v>
      </x:c>
      <x:c r="F127" s="11" t="str"/>
      <x:c r="G127" s="11" t="str">
        <x:v>2026-08 / état au 2026-09-20</x:v>
      </x:c>
      <x:c r="H127" s="11" t="str">
        <x:v>SYNTHETIQUE</x:v>
      </x:c>
    </x:row>
    <x:row r="128" ht="28" customHeight="1">
      <x:c r="A128" s="10" t="str">
        <x:v>SRC-041-E3</x:v>
      </x:c>
      <x:c r="B128" s="10" t="str">
        <x:v>SRC-041</x:v>
      </x:c>
      <x:c r="C128" s="10" t="str">
        <x:v>metadonnees</x:v>
      </x:c>
      <x:c r="D128" s="10" t="str">
        <x:v>Type de pièce; détenteur habilité; durée de conservation</x:v>
      </x:c>
      <x:c r="E128" s="10" t="str">
        <x:v>string</x:v>
      </x:c>
      <x:c r="F128" s="10" t="str"/>
      <x:c r="G128" s="10" t="str">
        <x:v>2026-08 / état au 2026-09-20</x:v>
      </x:c>
      <x:c r="H128" s="10" t="str">
        <x:v>SYNTHETIQUE</x:v>
      </x:c>
    </x:row>
    <x:row r="129" ht="28" customHeight="1">
      <x:c r="A129" s="11" t="str">
        <x:v>SRC-042-E1</x:v>
      </x:c>
      <x:c r="B129" s="11" t="str">
        <x:v>SRC-042</x:v>
      </x:c>
      <x:c r="C129" s="11" t="str">
        <x:v>parcours</x:v>
      </x:c>
      <x:c r="D129" s="11" t="str">
        <x:v>Invalidité</x:v>
      </x:c>
      <x:c r="E129" s="11" t="str">
        <x:v>string</x:v>
      </x:c>
      <x:c r="F129" s="11" t="str"/>
      <x:c r="G129" s="11" t="str">
        <x:v>2026-08 / état au 2026-09-20</x:v>
      </x:c>
      <x:c r="H129" s="11" t="str">
        <x:v>SYNTHETIQUE</x:v>
      </x:c>
    </x:row>
    <x:row r="130" ht="28" customHeight="1">
      <x:c r="A130" s="10" t="str">
        <x:v>SRC-042-E2</x:v>
      </x:c>
      <x:c r="B130" s="10" t="str">
        <x:v>SRC-042</x:v>
      </x:c>
      <x:c r="C130" s="10" t="str">
        <x:v>decision</x:v>
      </x:c>
      <x:c r="D130" s="10" t="str">
        <x:v>Reconnaissance de la garantie</x:v>
      </x:c>
      <x:c r="E130" s="10" t="str">
        <x:v>string</x:v>
      </x:c>
      <x:c r="F130" s="10" t="str"/>
      <x:c r="G130" s="10" t="str">
        <x:v>2026-08 / état au 2026-09-20</x:v>
      </x:c>
      <x:c r="H130" s="10" t="str">
        <x:v>SYNTHETIQUE</x:v>
      </x:c>
    </x:row>
    <x:row r="131" ht="28" customHeight="1">
      <x:c r="A131" s="11" t="str">
        <x:v>SRC-042-E3</x:v>
      </x:c>
      <x:c r="B131" s="11" t="str">
        <x:v>SRC-042</x:v>
      </x:c>
      <x:c r="C131" s="11" t="str">
        <x:v>intervention</x:v>
      </x:c>
      <x:c r="D131" s="11" t="str">
        <x:v>Avis habilité et décision du responsable de gestion</x:v>
      </x:c>
      <x:c r="E131" s="11" t="str">
        <x:v>string</x:v>
      </x:c>
      <x:c r="F131" s="11" t="str"/>
      <x:c r="G131" s="11" t="str">
        <x:v>2026-08 / état au 2026-09-20</x:v>
      </x:c>
      <x:c r="H131" s="11" t="str">
        <x:v>SYNTHETIQUE</x:v>
      </x:c>
    </x:row>
    <x:row r="132" ht="28" customHeight="1">
      <x:c r="A132" s="10" t="str">
        <x:v>SRC-043-E1</x:v>
      </x:c>
      <x:c r="B132" s="10" t="str">
        <x:v>SRC-043</x:v>
      </x:c>
      <x:c r="C132" s="10" t="str">
        <x:v>mois</x:v>
      </x:c>
      <x:c r="D132" s="10" t="str">
        <x:v>2026-08</x:v>
      </x:c>
      <x:c r="E132" s="10" t="str">
        <x:v>string</x:v>
      </x:c>
      <x:c r="F132" s="10" t="str"/>
      <x:c r="G132" s="10" t="str">
        <x:v>2026-08 / état au 2026-09-20</x:v>
      </x:c>
      <x:c r="H132" s="10" t="str">
        <x:v>SYNTHETIQUE</x:v>
      </x:c>
    </x:row>
    <x:row r="133" ht="28" customHeight="1">
      <x:c r="A133" s="11" t="str">
        <x:v>SRC-043-E2</x:v>
      </x:c>
      <x:c r="B133" s="11" t="str">
        <x:v>SRC-043</x:v>
      </x:c>
      <x:c r="C133" s="11" t="str">
        <x:v>mouvements_affiliation</x:v>
      </x:c>
      <x:c r="D133" s="11" t="n">
        <x:v>12500</x:v>
      </x:c>
      <x:c r="E133" s="11" t="str">
        <x:v>number</x:v>
      </x:c>
      <x:c r="F133" s="11" t="str"/>
      <x:c r="G133" s="11" t="str">
        <x:v>2026-08 / état au 2026-09-20</x:v>
      </x:c>
      <x:c r="H133" s="11" t="str">
        <x:v>SYNTHETIQUE</x:v>
      </x:c>
    </x:row>
    <x:row r="134" ht="28" customHeight="1">
      <x:c r="A134" s="10" t="str">
        <x:v>SRC-043-E3</x:v>
      </x:c>
      <x:c r="B134" s="10" t="str">
        <x:v>SRC-043</x:v>
      </x:c>
      <x:c r="C134" s="10" t="str">
        <x:v>anomalies_rapprochement</x:v>
      </x:c>
      <x:c r="D134" s="10" t="n">
        <x:v>250</x:v>
      </x:c>
      <x:c r="E134" s="10" t="str">
        <x:v>number</x:v>
      </x:c>
      <x:c r="F134" s="10" t="str"/>
      <x:c r="G134" s="10" t="str">
        <x:v>2026-08 / état au 2026-09-20</x:v>
      </x:c>
      <x:c r="H134" s="10" t="str">
        <x:v>SYNTHETIQUE</x:v>
      </x:c>
    </x:row>
    <x:row r="135" ht="28" customHeight="1">
      <x:c r="A135" s="11" t="str">
        <x:v>SRC-044-E1</x:v>
      </x:c>
      <x:c r="B135" s="11" t="str">
        <x:v>SRC-044</x:v>
      </x:c>
      <x:c r="C135" s="11" t="str">
        <x:v>parcours</x:v>
      </x:c>
      <x:c r="D135" s="11" t="str">
        <x:v>Conseil épargne</x:v>
      </x:c>
      <x:c r="E135" s="11" t="str">
        <x:v>string</x:v>
      </x:c>
      <x:c r="F135" s="11" t="str"/>
      <x:c r="G135" s="11" t="str">
        <x:v>2026-08 / état au 2026-09-20</x:v>
      </x:c>
      <x:c r="H135" s="11" t="str">
        <x:v>SYNTHETIQUE</x:v>
      </x:c>
    </x:row>
    <x:row r="136" ht="28" customHeight="1">
      <x:c r="A136" s="10" t="str">
        <x:v>SRC-044-E2</x:v>
      </x:c>
      <x:c r="B136" s="10" t="str">
        <x:v>SRC-044</x:v>
      </x:c>
      <x:c r="C136" s="10" t="str">
        <x:v>controle</x:v>
      </x:c>
      <x:c r="D136" s="10" t="str">
        <x:v>Complétude du questionnaire et validation conseiller</x:v>
      </x:c>
      <x:c r="E136" s="10" t="str">
        <x:v>string</x:v>
      </x:c>
      <x:c r="F136" s="10" t="str"/>
      <x:c r="G136" s="10" t="str">
        <x:v>2026-08 / état au 2026-09-20</x:v>
      </x:c>
      <x:c r="H136" s="10" t="str">
        <x:v>SYNTHETIQUE</x:v>
      </x:c>
    </x:row>
    <x:row r="137" ht="28" customHeight="1">
      <x:c r="A137" s="11" t="str">
        <x:v>SRC-044-E3</x:v>
      </x:c>
      <x:c r="B137" s="11" t="str">
        <x:v>SRC-044</x:v>
      </x:c>
      <x:c r="C137" s="11" t="str">
        <x:v>decision_automatique</x:v>
      </x:c>
      <x:c r="D137" s="11" t="str">
        <x:v>Interdite dans le scénario</x:v>
      </x:c>
      <x:c r="E137" s="11" t="str">
        <x:v>string</x:v>
      </x:c>
      <x:c r="F137" s="11" t="str"/>
      <x:c r="G137" s="11" t="str">
        <x:v>2026-08 / état au 2026-09-20</x:v>
      </x:c>
      <x:c r="H137" s="11" t="str">
        <x:v>SYNTHETIQUE</x:v>
      </x:c>
    </x:row>
    <x:row r="138" ht="28" customHeight="1">
      <x:c r="A138" s="10" t="str">
        <x:v>SRC-045-E1</x:v>
      </x:c>
      <x:c r="B138" s="10" t="str">
        <x:v>SRC-045</x:v>
      </x:c>
      <x:c r="C138" s="10" t="str">
        <x:v>mois</x:v>
      </x:c>
      <x:c r="D138" s="10" t="str">
        <x:v>2026-08</x:v>
      </x:c>
      <x:c r="E138" s="10" t="str">
        <x:v>string</x:v>
      </x:c>
      <x:c r="F138" s="10" t="str"/>
      <x:c r="G138" s="10" t="str">
        <x:v>2026-08 / état au 2026-09-20</x:v>
      </x:c>
      <x:c r="H138" s="10" t="str">
        <x:v>SYNTHETIQUE</x:v>
      </x:c>
    </x:row>
    <x:row r="139" ht="28" customHeight="1">
      <x:c r="A139" s="11" t="str">
        <x:v>SRC-045-E2</x:v>
      </x:c>
      <x:c r="B139" s="11" t="str">
        <x:v>SRC-045</x:v>
      </x:c>
      <x:c r="C139" s="11" t="str">
        <x:v>operations_rachat</x:v>
      </x:c>
      <x:c r="D139" s="11" t="n">
        <x:v>850</x:v>
      </x:c>
      <x:c r="E139" s="11" t="str">
        <x:v>number</x:v>
      </x:c>
      <x:c r="F139" s="11" t="str"/>
      <x:c r="G139" s="11" t="str">
        <x:v>2026-08 / état au 2026-09-20</x:v>
      </x:c>
      <x:c r="H139" s="11" t="str">
        <x:v>SYNTHETIQUE</x:v>
      </x:c>
    </x:row>
    <x:row r="140" ht="28" customHeight="1">
      <x:c r="A140" s="10" t="str">
        <x:v>SRC-045-E3</x:v>
      </x:c>
      <x:c r="B140" s="10" t="str">
        <x:v>SRC-045</x:v>
      </x:c>
      <x:c r="C140" s="10" t="str">
        <x:v>operations_avec_complement</x:v>
      </x:c>
      <x:c r="D140" s="10" t="n">
        <x:v>102</x:v>
      </x:c>
      <x:c r="E140" s="10" t="str">
        <x:v>number</x:v>
      </x:c>
      <x:c r="F140" s="10" t="str"/>
      <x:c r="G140" s="10" t="str">
        <x:v>2026-08 / état au 2026-09-20</x:v>
      </x:c>
      <x:c r="H140" s="10" t="str">
        <x:v>SYNTHETIQUE</x:v>
      </x:c>
    </x:row>
    <x:row r="141" ht="28" customHeight="1">
      <x:c r="A141" s="11" t="str">
        <x:v>SRC-046-E1</x:v>
      </x:c>
      <x:c r="B141" s="11" t="str">
        <x:v>SRC-046</x:v>
      </x:c>
      <x:c r="C141" s="11" t="str">
        <x:v>catalogue</x:v>
      </x:c>
      <x:c r="D141" s="11" t="str">
        <x:v>Supports épargne démonstration</x:v>
      </x:c>
      <x:c r="E141" s="11" t="str">
        <x:v>string</x:v>
      </x:c>
      <x:c r="F141" s="11" t="str"/>
      <x:c r="G141" s="11" t="str">
        <x:v>2026-08 / état au 2026-09-20</x:v>
      </x:c>
      <x:c r="H141" s="11" t="str">
        <x:v>SYNTHETIQUE</x:v>
      </x:c>
    </x:row>
    <x:row r="142" ht="28" customHeight="1">
      <x:c r="A142" s="10" t="str">
        <x:v>SRC-046-E2</x:v>
      </x:c>
      <x:c r="B142" s="10" t="str">
        <x:v>SRC-046</x:v>
      </x:c>
      <x:c r="C142" s="10" t="str">
        <x:v>supports</x:v>
      </x:c>
      <x:c r="D142" s="10" t="n">
        <x:v>60</x:v>
      </x:c>
      <x:c r="E142" s="10" t="str">
        <x:v>number</x:v>
      </x:c>
      <x:c r="F142" s="10" t="str"/>
      <x:c r="G142" s="10" t="str">
        <x:v>2026-08 / état au 2026-09-20</x:v>
      </x:c>
      <x:c r="H142" s="10" t="str">
        <x:v>SYNTHETIQUE</x:v>
      </x:c>
    </x:row>
    <x:row r="143" ht="28" customHeight="1">
      <x:c r="A143" s="11" t="str">
        <x:v>SRC-046-E3</x:v>
      </x:c>
      <x:c r="B143" s="11" t="str">
        <x:v>SRC-046</x:v>
      </x:c>
      <x:c r="C143" s="11" t="str">
        <x:v>version</x:v>
      </x:c>
      <x:c r="D143" s="11" t="str">
        <x:v>SUP-2026-08</x:v>
      </x:c>
      <x:c r="E143" s="11" t="str">
        <x:v>string</x:v>
      </x:c>
      <x:c r="F143" s="11" t="str"/>
      <x:c r="G143" s="11" t="str">
        <x:v>2026-08 / état au 2026-09-20</x:v>
      </x:c>
      <x:c r="H143" s="11" t="str">
        <x:v>SYNTHETIQUE</x:v>
      </x:c>
    </x:row>
    <x:row r="144" ht="28" customHeight="1">
      <x:c r="A144" s="10" t="str">
        <x:v>SRC-047-E1</x:v>
      </x:c>
      <x:c r="B144" s="10" t="str">
        <x:v>SRC-047</x:v>
      </x:c>
      <x:c r="C144" s="10" t="str">
        <x:v>parcours</x:v>
      </x:c>
      <x:c r="D144" s="10" t="str">
        <x:v>Règlement succession</x:v>
      </x:c>
      <x:c r="E144" s="10" t="str">
        <x:v>string</x:v>
      </x:c>
      <x:c r="F144" s="10" t="str"/>
      <x:c r="G144" s="10" t="str">
        <x:v>2026-08 / état au 2026-09-20</x:v>
      </x:c>
      <x:c r="H144" s="10" t="str">
        <x:v>SYNTHETIQUE</x:v>
      </x:c>
    </x:row>
    <x:row r="145" ht="28" customHeight="1">
      <x:c r="A145" s="11" t="str">
        <x:v>SRC-047-E2</x:v>
      </x:c>
      <x:c r="B145" s="11" t="str">
        <x:v>SRC-047</x:v>
      </x:c>
      <x:c r="C145" s="11" t="str">
        <x:v>pieces</x:v>
      </x:c>
      <x:c r="D145" s="11" t="str">
        <x:v>Actes et justificatifs selon procédure</x:v>
      </x:c>
      <x:c r="E145" s="11" t="str">
        <x:v>string</x:v>
      </x:c>
      <x:c r="F145" s="11" t="str"/>
      <x:c r="G145" s="11" t="str">
        <x:v>2026-08 / état au 2026-09-20</x:v>
      </x:c>
      <x:c r="H145" s="11" t="str">
        <x:v>SYNTHETIQUE</x:v>
      </x:c>
    </x:row>
    <x:row r="146" ht="28" customHeight="1">
      <x:c r="A146" s="10" t="str">
        <x:v>SRC-047-E3</x:v>
      </x:c>
      <x:c r="B146" s="10" t="str">
        <x:v>SRC-047</x:v>
      </x:c>
      <x:c r="C146" s="10" t="str">
        <x:v>contenu_nominatif_exporte</x:v>
      </x:c>
      <x:c r="D146" s="10" t="str">
        <x:v>Non</x:v>
      </x:c>
      <x:c r="E146" s="10" t="str">
        <x:v>string</x:v>
      </x:c>
      <x:c r="F146" s="10" t="str"/>
      <x:c r="G146" s="10" t="str">
        <x:v>2026-08 / état au 2026-09-20</x:v>
      </x:c>
      <x:c r="H146" s="10" t="str">
        <x:v>SYNTHETIQUE</x:v>
      </x:c>
    </x:row>
    <x:row r="147" ht="28" customHeight="1">
      <x:c r="A147" s="11" t="str">
        <x:v>SRC-048-E1</x:v>
      </x:c>
      <x:c r="B147" s="11" t="str">
        <x:v>SRC-048</x:v>
      </x:c>
      <x:c r="C147" s="11" t="str">
        <x:v>modele</x:v>
      </x:c>
      <x:c r="D147" s="11" t="str">
        <x:v>Relevé annuel assuré</x:v>
      </x:c>
      <x:c r="E147" s="11" t="str">
        <x:v>string</x:v>
      </x:c>
      <x:c r="F147" s="11" t="str"/>
      <x:c r="G147" s="11" t="str">
        <x:v>2026-08 / état au 2026-09-20</x:v>
      </x:c>
      <x:c r="H147" s="11" t="str">
        <x:v>SYNTHETIQUE</x:v>
      </x:c>
    </x:row>
    <x:row r="148" ht="28" customHeight="1">
      <x:c r="A148" s="10" t="str">
        <x:v>SRC-048-E2</x:v>
      </x:c>
      <x:c r="B148" s="10" t="str">
        <x:v>SRC-048</x:v>
      </x:c>
      <x:c r="C148" s="10" t="str">
        <x:v>blocs_variables</x:v>
      </x:c>
      <x:c r="D148" s="10" t="str">
        <x:v>Encours; opérations; frais</x:v>
      </x:c>
      <x:c r="E148" s="10" t="str">
        <x:v>string</x:v>
      </x:c>
      <x:c r="F148" s="10" t="str"/>
      <x:c r="G148" s="10" t="str">
        <x:v>2026-08 / état au 2026-09-20</x:v>
      </x:c>
      <x:c r="H148" s="10" t="str">
        <x:v>SYNTHETIQUE</x:v>
      </x:c>
    </x:row>
    <x:row r="149" ht="28" customHeight="1">
      <x:c r="A149" s="11" t="str">
        <x:v>SRC-048-E3</x:v>
      </x:c>
      <x:c r="B149" s="11" t="str">
        <x:v>SRC-048</x:v>
      </x:c>
      <x:c r="C149" s="11" t="str">
        <x:v>validation</x:v>
      </x:c>
      <x:c r="D149" s="11" t="str">
        <x:v>Rapprochement comptable et contrôle éditorial</x:v>
      </x:c>
      <x:c r="E149" s="11" t="str">
        <x:v>string</x:v>
      </x:c>
      <x:c r="F149" s="11" t="str"/>
      <x:c r="G149" s="11" t="str">
        <x:v>2026-08 / état au 2026-09-20</x:v>
      </x:c>
      <x:c r="H149" s="11" t="str">
        <x:v>SYNTHETIQUE</x:v>
      </x:c>
    </x:row>
    <x:row r="150" ht="28" customHeight="1">
      <x:c r="A150" s="10" t="str">
        <x:v>SRC-049-E1</x:v>
      </x:c>
      <x:c r="B150" s="10" t="str">
        <x:v>SRC-049</x:v>
      </x:c>
      <x:c r="C150" s="10" t="str">
        <x:v>service</x:v>
      </x:c>
      <x:c r="D150" s="10" t="str">
        <x:v>Assistance dépannage habitation</x:v>
      </x:c>
      <x:c r="E150" s="10" t="str">
        <x:v>string</x:v>
      </x:c>
      <x:c r="F150" s="10" t="str"/>
      <x:c r="G150" s="10" t="str">
        <x:v>2026-08 / état au 2026-09-20</x:v>
      </x:c>
      <x:c r="H150" s="10" t="str">
        <x:v>SYNTHETIQUE</x:v>
      </x:c>
    </x:row>
    <x:row r="151" ht="28" customHeight="1">
      <x:c r="A151" s="11" t="str">
        <x:v>SRC-049-E2</x:v>
      </x:c>
      <x:c r="B151" s="11" t="str">
        <x:v>SRC-049</x:v>
      </x:c>
      <x:c r="C151" s="11" t="str">
        <x:v>eligibilite</x:v>
      </x:c>
      <x:c r="D151" s="11" t="str">
        <x:v>Garantie active et événement couvert</x:v>
      </x:c>
      <x:c r="E151" s="11" t="str">
        <x:v>string</x:v>
      </x:c>
      <x:c r="F151" s="11" t="str"/>
      <x:c r="G151" s="11" t="str">
        <x:v>2026-08 / état au 2026-09-20</x:v>
      </x:c>
      <x:c r="H151" s="11" t="str">
        <x:v>SYNTHETIQUE</x:v>
      </x:c>
    </x:row>
    <x:row r="152" ht="28" customHeight="1">
      <x:c r="A152" s="10" t="str">
        <x:v>SRC-049-E3</x:v>
      </x:c>
      <x:c r="B152" s="10" t="str">
        <x:v>SRC-049</x:v>
      </x:c>
      <x:c r="C152" s="10" t="str">
        <x:v>canal</x:v>
      </x:c>
      <x:c r="D152" s="10" t="str">
        <x:v>Téléphone et application</x:v>
      </x:c>
      <x:c r="E152" s="10" t="str">
        <x:v>string</x:v>
      </x:c>
      <x:c r="F152" s="10" t="str"/>
      <x:c r="G152" s="10" t="str">
        <x:v>2026-08 / état au 2026-09-20</x:v>
      </x:c>
      <x:c r="H152" s="10" t="str">
        <x:v>SYNTHETIQUE</x:v>
      </x:c>
    </x:row>
    <x:row r="153" ht="28" customHeight="1">
      <x:c r="A153" s="11" t="str">
        <x:v>SRC-050-E1</x:v>
      </x:c>
      <x:c r="B153" s="11" t="str">
        <x:v>SRC-050</x:v>
      </x:c>
      <x:c r="C153" s="11" t="str">
        <x:v>decision</x:v>
      </x:c>
      <x:c r="D153" s="11" t="str">
        <x:v>Mobiliser un prestataire</x:v>
      </x:c>
      <x:c r="E153" s="11" t="str">
        <x:v>string</x:v>
      </x:c>
      <x:c r="F153" s="11" t="str"/>
      <x:c r="G153" s="11" t="str">
        <x:v>2026-08 / état au 2026-09-20</x:v>
      </x:c>
      <x:c r="H153" s="11" t="str">
        <x:v>SYNTHETIQUE</x:v>
      </x:c>
    </x:row>
    <x:row r="154" ht="28" customHeight="1">
      <x:c r="A154" s="10" t="str">
        <x:v>SRC-050-E2</x:v>
      </x:c>
      <x:c r="B154" s="10" t="str">
        <x:v>SRC-050</x:v>
      </x:c>
      <x:c r="C154" s="10" t="str">
        <x:v>criteres</x:v>
      </x:c>
      <x:c r="D154" s="10" t="str">
        <x:v>Compétence; zone; disponibilité; urgence</x:v>
      </x:c>
      <x:c r="E154" s="10" t="str">
        <x:v>string</x:v>
      </x:c>
      <x:c r="F154" s="10" t="str"/>
      <x:c r="G154" s="10" t="str">
        <x:v>2026-08 / état au 2026-09-20</x:v>
      </x:c>
      <x:c r="H154" s="10" t="str">
        <x:v>SYNTHETIQUE</x:v>
      </x:c>
    </x:row>
    <x:row r="155" ht="28" customHeight="1">
      <x:c r="A155" s="11" t="str">
        <x:v>SRC-050-E3</x:v>
      </x:c>
      <x:c r="B155" s="11" t="str">
        <x:v>SRC-050</x:v>
      </x:c>
      <x:c r="C155" s="11" t="str">
        <x:v>escalade</x:v>
      </x:c>
      <x:c r="D155" s="11" t="str">
        <x:v>Coordinateur assistance</x:v>
      </x:c>
      <x:c r="E155" s="11" t="str">
        <x:v>string</x:v>
      </x:c>
      <x:c r="F155" s="11" t="str"/>
      <x:c r="G155" s="11" t="str">
        <x:v>2026-08 / état au 2026-09-20</x:v>
      </x:c>
      <x:c r="H155" s="11" t="str">
        <x:v>SYNTHETIQUE</x:v>
      </x:c>
    </x:row>
    <x:row r="156" ht="28" customHeight="1">
      <x:c r="A156" s="10" t="str">
        <x:v>SRC-051-E1</x:v>
      </x:c>
      <x:c r="B156" s="10" t="str">
        <x:v>SRC-051</x:v>
      </x:c>
      <x:c r="C156" s="10" t="str">
        <x:v>reseau</x:v>
      </x:c>
      <x:c r="D156" s="10" t="str">
        <x:v>Réparateurs habitation</x:v>
      </x:c>
      <x:c r="E156" s="10" t="str">
        <x:v>string</x:v>
      </x:c>
      <x:c r="F156" s="10" t="str"/>
      <x:c r="G156" s="10" t="str">
        <x:v>2026-08 / état au 2026-09-20</x:v>
      </x:c>
      <x:c r="H156" s="10" t="str">
        <x:v>SYNTHETIQUE</x:v>
      </x:c>
    </x:row>
    <x:row r="157" ht="28" customHeight="1">
      <x:c r="A157" s="11" t="str">
        <x:v>SRC-051-E2</x:v>
      </x:c>
      <x:c r="B157" s="11" t="str">
        <x:v>SRC-051</x:v>
      </x:c>
      <x:c r="C157" s="11" t="str">
        <x:v>prestataires</x:v>
      </x:c>
      <x:c r="D157" s="11" t="n">
        <x:v>320</x:v>
      </x:c>
      <x:c r="E157" s="11" t="str">
        <x:v>number</x:v>
      </x:c>
      <x:c r="F157" s="11" t="str"/>
      <x:c r="G157" s="11" t="str">
        <x:v>2026-08 / état au 2026-09-20</x:v>
      </x:c>
      <x:c r="H157" s="11" t="str">
        <x:v>SYNTHETIQUE</x:v>
      </x:c>
    </x:row>
    <x:row r="158" ht="28" customHeight="1">
      <x:c r="A158" s="10" t="str">
        <x:v>SRC-051-E3</x:v>
      </x:c>
      <x:c r="B158" s="10" t="str">
        <x:v>SRC-051</x:v>
      </x:c>
      <x:c r="C158" s="10" t="str">
        <x:v>maillage</x:v>
      </x:c>
      <x:c r="D158" s="10" t="str">
        <x:v>Zones géographiques agrégées</x:v>
      </x:c>
      <x:c r="E158" s="10" t="str">
        <x:v>string</x:v>
      </x:c>
      <x:c r="F158" s="10" t="str"/>
      <x:c r="G158" s="10" t="str">
        <x:v>2026-08 / état au 2026-09-20</x:v>
      </x:c>
      <x:c r="H158" s="10" t="str">
        <x:v>SYNTHETIQUE</x:v>
      </x:c>
    </x:row>
    <x:row r="159" ht="28" customHeight="1">
      <x:c r="A159" s="11" t="str">
        <x:v>SRC-052-E1</x:v>
      </x:c>
      <x:c r="B159" s="11" t="str">
        <x:v>SRC-052</x:v>
      </x:c>
      <x:c r="C159" s="11" t="str">
        <x:v>mois</x:v>
      </x:c>
      <x:c r="D159" s="11" t="str">
        <x:v>2026-08</x:v>
      </x:c>
      <x:c r="E159" s="11" t="str">
        <x:v>string</x:v>
      </x:c>
      <x:c r="F159" s="11" t="str"/>
      <x:c r="G159" s="11" t="str">
        <x:v>2026-08 / état au 2026-09-20</x:v>
      </x:c>
      <x:c r="H159" s="11" t="str">
        <x:v>SYNTHETIQUE</x:v>
      </x:c>
    </x:row>
    <x:row r="160" ht="28" customHeight="1">
      <x:c r="A160" s="10" t="str">
        <x:v>SRC-052-E2</x:v>
      </x:c>
      <x:c r="B160" s="10" t="str">
        <x:v>SRC-052</x:v>
      </x:c>
      <x:c r="C160" s="10" t="str">
        <x:v>interventions</x:v>
      </x:c>
      <x:c r="D160" s="10" t="n">
        <x:v>2800</x:v>
      </x:c>
      <x:c r="E160" s="10" t="str">
        <x:v>number</x:v>
      </x:c>
      <x:c r="F160" s="10" t="str"/>
      <x:c r="G160" s="10" t="str">
        <x:v>2026-08 / état au 2026-09-20</x:v>
      </x:c>
      <x:c r="H160" s="10" t="str">
        <x:v>SYNTHETIQUE</x:v>
      </x:c>
    </x:row>
    <x:row r="161" ht="28" customHeight="1">
      <x:c r="A161" s="11" t="str">
        <x:v>SRC-052-E3</x:v>
      </x:c>
      <x:c r="B161" s="11" t="str">
        <x:v>SRC-052</x:v>
      </x:c>
      <x:c r="C161" s="11" t="str">
        <x:v>delai_median_heures</x:v>
      </x:c>
      <x:c r="D161" s="11" t="n">
        <x:v>5</x:v>
      </x:c>
      <x:c r="E161" s="11" t="str">
        <x:v>number</x:v>
      </x:c>
      <x:c r="F161" s="11" t="str">
        <x:v>heures</x:v>
      </x:c>
      <x:c r="G161" s="11" t="str">
        <x:v>2026-08 / état au 2026-09-20</x:v>
      </x:c>
      <x:c r="H161" s="11" t="str">
        <x:v>SYNTHETIQUE</x:v>
      </x:c>
    </x:row>
    <x:row r="162" ht="28" customHeight="1">
      <x:c r="A162" s="10" t="str">
        <x:v>SRC-053-E1</x:v>
      </x:c>
      <x:c r="B162" s="10" t="str">
        <x:v>SRC-053</x:v>
      </x:c>
      <x:c r="C162" s="10" t="str">
        <x:v>scenario</x:v>
      </x:c>
      <x:c r="D162" s="10" t="str">
        <x:v>Épisode de grêle fictif</x:v>
      </x:c>
      <x:c r="E162" s="10" t="str">
        <x:v>string</x:v>
      </x:c>
      <x:c r="F162" s="10" t="str"/>
      <x:c r="G162" s="10" t="str">
        <x:v>2026-08 / état au 2026-09-20</x:v>
      </x:c>
      <x:c r="H162" s="10" t="str">
        <x:v>SYNTHETIQUE</x:v>
      </x:c>
    </x:row>
    <x:row r="163" ht="28" customHeight="1">
      <x:c r="A163" s="11" t="str">
        <x:v>SRC-053-E2</x:v>
      </x:c>
      <x:c r="B163" s="11" t="str">
        <x:v>SRC-053</x:v>
      </x:c>
      <x:c r="C163" s="11" t="str">
        <x:v>multiplicateur_charge</x:v>
      </x:c>
      <x:c r="D163" s="11" t="n">
        <x:v>3</x:v>
      </x:c>
      <x:c r="E163" s="11" t="str">
        <x:v>number</x:v>
      </x:c>
      <x:c r="F163" s="11" t="str"/>
      <x:c r="G163" s="11" t="str">
        <x:v>2026-08 / état au 2026-09-20</x:v>
      </x:c>
      <x:c r="H163" s="11" t="str">
        <x:v>SYNTHETIQUE</x:v>
      </x:c>
    </x:row>
    <x:row r="164" ht="28" customHeight="1">
      <x:c r="A164" s="10" t="str">
        <x:v>SRC-053-E3</x:v>
      </x:c>
      <x:c r="B164" s="10" t="str">
        <x:v>SRC-053</x:v>
      </x:c>
      <x:c r="C164" s="10" t="str">
        <x:v>mesure</x:v>
      </x:c>
      <x:c r="D164" s="10" t="str">
        <x:v>Cellule de coordination et file prioritaire</x:v>
      </x:c>
      <x:c r="E164" s="10" t="str">
        <x:v>string</x:v>
      </x:c>
      <x:c r="F164" s="10" t="str"/>
      <x:c r="G164" s="10" t="str">
        <x:v>2026-08 / état au 2026-09-20</x:v>
      </x:c>
      <x:c r="H164" s="10" t="str">
        <x:v>SYNTHETIQUE</x:v>
      </x:c>
    </x:row>
    <x:row r="165" ht="28" customHeight="1">
      <x:c r="A165" s="11" t="str">
        <x:v>SRC-054-E1</x:v>
      </x:c>
      <x:c r="B165" s="11" t="str">
        <x:v>SRC-054</x:v>
      </x:c>
      <x:c r="C165" s="11" t="str">
        <x:v>traite</x:v>
      </x:c>
      <x:c r="D165" s="11" t="str">
        <x:v>Habitation événement climatique fictif</x:v>
      </x:c>
      <x:c r="E165" s="11" t="str">
        <x:v>string</x:v>
      </x:c>
      <x:c r="F165" s="11" t="str"/>
      <x:c r="G165" s="11" t="str">
        <x:v>2026-08 / état au 2026-09-20</x:v>
      </x:c>
      <x:c r="H165" s="11" t="str">
        <x:v>SYNTHETIQUE</x:v>
      </x:c>
    </x:row>
    <x:row r="166" ht="28" customHeight="1">
      <x:c r="A166" s="10" t="str">
        <x:v>SRC-054-E2</x:v>
      </x:c>
      <x:c r="B166" s="10" t="str">
        <x:v>SRC-054</x:v>
      </x:c>
      <x:c r="C166" s="10" t="str">
        <x:v>type</x:v>
      </x:c>
      <x:c r="D166" s="10" t="str">
        <x:v>Excédent de sinistre</x:v>
      </x:c>
      <x:c r="E166" s="10" t="str">
        <x:v>string</x:v>
      </x:c>
      <x:c r="F166" s="10" t="str"/>
      <x:c r="G166" s="10" t="str">
        <x:v>2026-08 / état au 2026-09-20</x:v>
      </x:c>
      <x:c r="H166" s="10" t="str">
        <x:v>SYNTHETIQUE</x:v>
      </x:c>
    </x:row>
    <x:row r="167" ht="28" customHeight="1">
      <x:c r="A167" s="11" t="str">
        <x:v>SRC-054-E3</x:v>
      </x:c>
      <x:c r="B167" s="11" t="str">
        <x:v>SRC-054</x:v>
      </x:c>
      <x:c r="C167" s="11" t="str">
        <x:v>controle</x:v>
      </x:c>
      <x:c r="D167" s="11" t="str">
        <x:v>Revue des exclusions par expert réassurance</x:v>
      </x:c>
      <x:c r="E167" s="11" t="str">
        <x:v>string</x:v>
      </x:c>
      <x:c r="F167" s="11" t="str"/>
      <x:c r="G167" s="11" t="str">
        <x:v>2026-08 / état au 2026-09-20</x:v>
      </x:c>
      <x:c r="H167" s="11" t="str">
        <x:v>SYNTHETIQUE</x:v>
      </x:c>
    </x:row>
    <x:row r="168" ht="28" customHeight="1">
      <x:c r="A168" s="10" t="str">
        <x:v>SRC-055-E1</x:v>
      </x:c>
      <x:c r="B168" s="10" t="str">
        <x:v>SRC-055</x:v>
      </x:c>
      <x:c r="C168" s="10" t="str">
        <x:v>bordereau</x:v>
      </x:c>
      <x:c r="D168" s="10" t="str">
        <x:v>BORD-2026-08</x:v>
      </x:c>
      <x:c r="E168" s="10" t="str">
        <x:v>string</x:v>
      </x:c>
      <x:c r="F168" s="10" t="str"/>
      <x:c r="G168" s="10" t="str">
        <x:v>2026-08 / état au 2026-09-20</x:v>
      </x:c>
      <x:c r="H168" s="10" t="str">
        <x:v>SYNTHETIQUE</x:v>
      </x:c>
    </x:row>
    <x:row r="169" ht="28" customHeight="1">
      <x:c r="A169" s="11" t="str">
        <x:v>SRC-055-E2</x:v>
      </x:c>
      <x:c r="B169" s="11" t="str">
        <x:v>SRC-055</x:v>
      </x:c>
      <x:c r="C169" s="11" t="str">
        <x:v>lignes</x:v>
      </x:c>
      <x:c r="D169" s="11" t="n">
        <x:v>840</x:v>
      </x:c>
      <x:c r="E169" s="11" t="str">
        <x:v>number</x:v>
      </x:c>
      <x:c r="F169" s="11" t="str"/>
      <x:c r="G169" s="11" t="str">
        <x:v>2026-08 / état au 2026-09-20</x:v>
      </x:c>
      <x:c r="H169" s="11" t="str">
        <x:v>SYNTHETIQUE</x:v>
      </x:c>
    </x:row>
    <x:row r="170" ht="28" customHeight="1">
      <x:c r="A170" s="10" t="str">
        <x:v>SRC-055-E3</x:v>
      </x:c>
      <x:c r="B170" s="10" t="str">
        <x:v>SRC-055</x:v>
      </x:c>
      <x:c r="C170" s="10" t="str">
        <x:v>ecarts_rapprochement</x:v>
      </x:c>
      <x:c r="D170" s="10" t="n">
        <x:v>12</x:v>
      </x:c>
      <x:c r="E170" s="10" t="str">
        <x:v>number</x:v>
      </x:c>
      <x:c r="F170" s="10" t="str"/>
      <x:c r="G170" s="10" t="str">
        <x:v>2026-08 / état au 2026-09-20</x:v>
      </x:c>
      <x:c r="H170" s="10" t="str">
        <x:v>SYNTHETIQUE</x:v>
      </x:c>
    </x:row>
    <x:row r="171" ht="28" customHeight="1">
      <x:c r="A171" s="11" t="str">
        <x:v>SRC-056-E1</x:v>
      </x:c>
      <x:c r="B171" s="11" t="str">
        <x:v>SRC-056</x:v>
      </x:c>
      <x:c r="C171" s="11" t="str">
        <x:v>exposition</x:v>
      </x:c>
      <x:c r="D171" s="11" t="str">
        <x:v>Habitation par zone agrégée</x:v>
      </x:c>
      <x:c r="E171" s="11" t="str">
        <x:v>string</x:v>
      </x:c>
      <x:c r="F171" s="11" t="str"/>
      <x:c r="G171" s="11" t="str">
        <x:v>2026-08 / état au 2026-09-20</x:v>
      </x:c>
      <x:c r="H171" s="11" t="str">
        <x:v>SYNTHETIQUE</x:v>
      </x:c>
    </x:row>
    <x:row r="172" ht="28" customHeight="1">
      <x:c r="A172" s="10" t="str">
        <x:v>SRC-056-E2</x:v>
      </x:c>
      <x:c r="B172" s="10" t="str">
        <x:v>SRC-056</x:v>
      </x:c>
      <x:c r="C172" s="10" t="str">
        <x:v>zones</x:v>
      </x:c>
      <x:c r="D172" s="10" t="n">
        <x:v>96</x:v>
      </x:c>
      <x:c r="E172" s="10" t="str">
        <x:v>number</x:v>
      </x:c>
      <x:c r="F172" s="10" t="str"/>
      <x:c r="G172" s="10" t="str">
        <x:v>2026-08 / état au 2026-09-20</x:v>
      </x:c>
      <x:c r="H172" s="10" t="str">
        <x:v>SYNTHETIQUE</x:v>
      </x:c>
    </x:row>
    <x:row r="173" ht="28" customHeight="1">
      <x:c r="A173" s="11" t="str">
        <x:v>SRC-056-E3</x:v>
      </x:c>
      <x:c r="B173" s="11" t="str">
        <x:v>SRC-056</x:v>
      </x:c>
      <x:c r="C173" s="11" t="str">
        <x:v>granularite</x:v>
      </x:c>
      <x:c r="D173" s="11" t="str">
        <x:v>Département sans adresse</x:v>
      </x:c>
      <x:c r="E173" s="11" t="str">
        <x:v>string</x:v>
      </x:c>
      <x:c r="F173" s="11" t="str"/>
      <x:c r="G173" s="11" t="str">
        <x:v>2026-08 / état au 2026-09-20</x:v>
      </x:c>
      <x:c r="H173" s="11" t="str">
        <x:v>SYNTHETIQUE</x:v>
      </x:c>
    </x:row>
    <x:row r="174" ht="28" customHeight="1">
      <x:c r="A174" s="10" t="str">
        <x:v>SRC-057-E1</x:v>
      </x:c>
      <x:c r="B174" s="10" t="str">
        <x:v>SRC-057</x:v>
      </x:c>
      <x:c r="C174" s="10" t="str">
        <x:v>renouvellement</x:v>
      </x:c>
      <x:c r="D174" s="10" t="str">
        <x:v>Programme 2027</x:v>
      </x:c>
      <x:c r="E174" s="10" t="str">
        <x:v>string</x:v>
      </x:c>
      <x:c r="F174" s="10" t="str"/>
      <x:c r="G174" s="10" t="str">
        <x:v>2026-08 / état au 2026-09-20</x:v>
      </x:c>
      <x:c r="H174" s="10" t="str">
        <x:v>SYNTHETIQUE</x:v>
      </x:c>
    </x:row>
    <x:row r="175" ht="28" customHeight="1">
      <x:c r="A175" s="11" t="str">
        <x:v>SRC-057-E2</x:v>
      </x:c>
      <x:c r="B175" s="11" t="str">
        <x:v>SRC-057</x:v>
      </x:c>
      <x:c r="C175" s="11" t="str">
        <x:v>jalons</x:v>
      </x:c>
      <x:c r="D175" s="11" t="str">
        <x:v>Préparation; revue; placement; validation</x:v>
      </x:c>
      <x:c r="E175" s="11" t="str">
        <x:v>string</x:v>
      </x:c>
      <x:c r="F175" s="11" t="str"/>
      <x:c r="G175" s="11" t="str">
        <x:v>2026-08 / état au 2026-09-20</x:v>
      </x:c>
      <x:c r="H175" s="11" t="str">
        <x:v>SYNTHETIQUE</x:v>
      </x:c>
    </x:row>
    <x:row r="176" ht="28" customHeight="1">
      <x:c r="A176" s="10" t="str">
        <x:v>SRC-057-E3</x:v>
      </x:c>
      <x:c r="B176" s="10" t="str">
        <x:v>SRC-057</x:v>
      </x:c>
      <x:c r="C176" s="10" t="str">
        <x:v>saisie_redondante</x:v>
      </x:c>
      <x:c r="D176" s="10" t="str">
        <x:v>Montants repris dans trois fichiers</x:v>
      </x:c>
      <x:c r="E176" s="10" t="str">
        <x:v>string</x:v>
      </x:c>
      <x:c r="F176" s="10" t="str"/>
      <x:c r="G176" s="10" t="str">
        <x:v>2026-08 / état au 2026-09-20</x:v>
      </x:c>
      <x:c r="H176" s="10" t="str">
        <x:v>SYNTHETIQUE</x:v>
      </x:c>
    </x:row>
    <x:row r="177" ht="28" customHeight="1">
      <x:c r="A177" s="11" t="str">
        <x:v>SRC-058-E1</x:v>
      </x:c>
      <x:c r="B177" s="11" t="str">
        <x:v>SRC-058</x:v>
      </x:c>
      <x:c r="C177" s="11" t="str">
        <x:v>modele</x:v>
      </x:c>
      <x:c r="D177" s="11" t="str">
        <x:v>Provisionnement habitation</x:v>
      </x:c>
      <x:c r="E177" s="11" t="str">
        <x:v>string</x:v>
      </x:c>
      <x:c r="F177" s="11" t="str"/>
      <x:c r="G177" s="11" t="str">
        <x:v>2026-08 / état au 2026-09-20</x:v>
      </x:c>
      <x:c r="H177" s="11" t="str">
        <x:v>SYNTHETIQUE</x:v>
      </x:c>
    </x:row>
    <x:row r="178" ht="28" customHeight="1">
      <x:c r="A178" s="10" t="str">
        <x:v>SRC-058-E2</x:v>
      </x:c>
      <x:c r="B178" s="10" t="str">
        <x:v>SRC-058</x:v>
      </x:c>
      <x:c r="C178" s="10" t="str">
        <x:v>nature</x:v>
      </x:c>
      <x:c r="D178" s="10" t="str">
        <x:v>Modèle actuariel statistique hors registre IA du scénario</x:v>
      </x:c>
      <x:c r="E178" s="10" t="str">
        <x:v>string</x:v>
      </x:c>
      <x:c r="F178" s="10" t="str"/>
      <x:c r="G178" s="10" t="str">
        <x:v>2026-08 / état au 2026-09-20</x:v>
      </x:c>
      <x:c r="H178" s="10" t="str">
        <x:v>SYNTHETIQUE</x:v>
      </x:c>
    </x:row>
    <x:row r="179" ht="28" customHeight="1">
      <x:c r="A179" s="11" t="str">
        <x:v>SRC-058-E3</x:v>
      </x:c>
      <x:c r="B179" s="11" t="str">
        <x:v>SRC-058</x:v>
      </x:c>
      <x:c r="C179" s="11" t="str">
        <x:v>version</x:v>
      </x:c>
      <x:c r="D179" s="11" t="str">
        <x:v>ACTU-2026.2</x:v>
      </x:c>
      <x:c r="E179" s="11" t="str">
        <x:v>string</x:v>
      </x:c>
      <x:c r="F179" s="11" t="str"/>
      <x:c r="G179" s="11" t="str">
        <x:v>2026-08 / état au 2026-09-20</x:v>
      </x:c>
      <x:c r="H179" s="11" t="str">
        <x:v>SYNTHETIQUE</x:v>
      </x:c>
    </x:row>
    <x:row r="180" ht="28" customHeight="1">
      <x:c r="A180" s="10" t="str">
        <x:v>SRC-059-E1</x:v>
      </x:c>
      <x:c r="B180" s="10" t="str">
        <x:v>SRC-059</x:v>
      </x:c>
      <x:c r="C180" s="10" t="str">
        <x:v>portefeuille</x:v>
      </x:c>
      <x:c r="D180" s="10" t="str">
        <x:v>Habitation</x:v>
      </x:c>
      <x:c r="E180" s="10" t="str">
        <x:v>string</x:v>
      </x:c>
      <x:c r="F180" s="10" t="str"/>
      <x:c r="G180" s="10" t="str">
        <x:v>2026-08 / état au 2026-09-20</x:v>
      </x:c>
      <x:c r="H180" s="10" t="str">
        <x:v>SYNTHETIQUE</x:v>
      </x:c>
    </x:row>
    <x:row r="181" ht="28" customHeight="1">
      <x:c r="A181" s="11" t="str">
        <x:v>SRC-059-E2</x:v>
      </x:c>
      <x:c r="B181" s="11" t="str">
        <x:v>SRC-059</x:v>
      </x:c>
      <x:c r="C181" s="11" t="str">
        <x:v>provisions_eur</x:v>
      </x:c>
      <x:c r="D181" s="11" t="n">
        <x:v>48000000</x:v>
      </x:c>
      <x:c r="E181" s="11" t="str">
        <x:v>number</x:v>
      </x:c>
      <x:c r="F181" s="11" t="str">
        <x:v>EUR</x:v>
      </x:c>
      <x:c r="G181" s="11" t="str">
        <x:v>2026-08 / état au 2026-09-20</x:v>
      </x:c>
      <x:c r="H181" s="11" t="str">
        <x:v>SYNTHETIQUE</x:v>
      </x:c>
    </x:row>
    <x:row r="182" ht="28" customHeight="1">
      <x:c r="A182" s="10" t="str">
        <x:v>SRC-059-E3</x:v>
      </x:c>
      <x:c r="B182" s="10" t="str">
        <x:v>SRC-059</x:v>
      </x:c>
      <x:c r="C182" s="10" t="str">
        <x:v>controle</x:v>
      </x:c>
      <x:c r="D182" s="10" t="str">
        <x:v>Revue des hypothèses de fréquence et sévérité</x:v>
      </x:c>
      <x:c r="E182" s="10" t="str">
        <x:v>string</x:v>
      </x:c>
      <x:c r="F182" s="10" t="str"/>
      <x:c r="G182" s="10" t="str">
        <x:v>2026-08 / état au 2026-09-20</x:v>
      </x:c>
      <x:c r="H182" s="10" t="str">
        <x:v>SYNTHETIQUE</x:v>
      </x:c>
    </x:row>
    <x:row r="183" ht="28" customHeight="1">
      <x:c r="A183" s="11" t="str">
        <x:v>SRC-060-E1</x:v>
      </x:c>
      <x:c r="B183" s="11" t="str">
        <x:v>SRC-060</x:v>
      </x:c>
      <x:c r="C183" s="11" t="str">
        <x:v>reporting</x:v>
      </x:c>
      <x:c r="D183" s="11" t="str">
        <x:v>Production prudentielle trimestrielle</x:v>
      </x:c>
      <x:c r="E183" s="11" t="str">
        <x:v>string</x:v>
      </x:c>
      <x:c r="F183" s="11" t="str"/>
      <x:c r="G183" s="11" t="str">
        <x:v>2026-08 / état au 2026-09-20</x:v>
      </x:c>
      <x:c r="H183" s="11" t="str">
        <x:v>SYNTHETIQUE</x:v>
      </x:c>
    </x:row>
    <x:row r="184" ht="28" customHeight="1">
      <x:c r="A184" s="10" t="str">
        <x:v>SRC-060-E2</x:v>
      </x:c>
      <x:c r="B184" s="10" t="str">
        <x:v>SRC-060</x:v>
      </x:c>
      <x:c r="C184" s="10" t="str">
        <x:v>sources</x:v>
      </x:c>
      <x:c r="D184" s="10" t="n">
        <x:v>8</x:v>
      </x:c>
      <x:c r="E184" s="10" t="str">
        <x:v>number</x:v>
      </x:c>
      <x:c r="F184" s="10" t="str"/>
      <x:c r="G184" s="10" t="str">
        <x:v>2026-08 / état au 2026-09-20</x:v>
      </x:c>
      <x:c r="H184" s="10" t="str">
        <x:v>SYNTHETIQUE</x:v>
      </x:c>
    </x:row>
    <x:row r="185" ht="28" customHeight="1">
      <x:c r="A185" s="11" t="str">
        <x:v>SRC-060-E3</x:v>
      </x:c>
      <x:c r="B185" s="11" t="str">
        <x:v>SRC-060</x:v>
      </x:c>
      <x:c r="C185" s="11" t="str">
        <x:v>controle</x:v>
      </x:c>
      <x:c r="D185" s="11" t="str">
        <x:v>Rapprochement et justification des écarts</x:v>
      </x:c>
      <x:c r="E185" s="11" t="str">
        <x:v>string</x:v>
      </x:c>
      <x:c r="F185" s="11" t="str"/>
      <x:c r="G185" s="11" t="str">
        <x:v>2026-08 / état au 2026-09-20</x:v>
      </x:c>
      <x:c r="H185" s="11" t="str">
        <x:v>SYNTHETIQUE</x:v>
      </x:c>
    </x:row>
    <x:row r="186" ht="28" customHeight="1">
      <x:c r="A186" s="10" t="str">
        <x:v>SRC-061-E1</x:v>
      </x:c>
      <x:c r="B186" s="10" t="str">
        <x:v>SRC-061</x:v>
      </x:c>
      <x:c r="C186" s="10" t="str">
        <x:v>scenario</x:v>
      </x:c>
      <x:c r="D186" s="10" t="str">
        <x:v>Choc climatique et inflation réparation</x:v>
      </x:c>
      <x:c r="E186" s="10" t="str">
        <x:v>string</x:v>
      </x:c>
      <x:c r="F186" s="10" t="str"/>
      <x:c r="G186" s="10" t="str">
        <x:v>2026-08 / état au 2026-09-20</x:v>
      </x:c>
      <x:c r="H186" s="10" t="str">
        <x:v>SYNTHETIQUE</x:v>
      </x:c>
    </x:row>
    <x:row r="187" ht="28" customHeight="1">
      <x:c r="A187" s="11" t="str">
        <x:v>SRC-061-E2</x:v>
      </x:c>
      <x:c r="B187" s="11" t="str">
        <x:v>SRC-061</x:v>
      </x:c>
      <x:c r="C187" s="11" t="str">
        <x:v>frequence_revue</x:v>
      </x:c>
      <x:c r="D187" s="11" t="str">
        <x:v>Annuelle</x:v>
      </x:c>
      <x:c r="E187" s="11" t="str">
        <x:v>string</x:v>
      </x:c>
      <x:c r="F187" s="11" t="str"/>
      <x:c r="G187" s="11" t="str">
        <x:v>2026-08 / état au 2026-09-20</x:v>
      </x:c>
      <x:c r="H187" s="11" t="str">
        <x:v>SYNTHETIQUE</x:v>
      </x:c>
    </x:row>
    <x:row r="188" ht="28" customHeight="1">
      <x:c r="A188" s="10" t="str">
        <x:v>SRC-061-E3</x:v>
      </x:c>
      <x:c r="B188" s="10" t="str">
        <x:v>SRC-061</x:v>
      </x:c>
      <x:c r="C188" s="10" t="str">
        <x:v>decideur</x:v>
      </x:c>
      <x:c r="D188" s="10" t="str">
        <x:v>Comité des risques</x:v>
      </x:c>
      <x:c r="E188" s="10" t="str">
        <x:v>string</x:v>
      </x:c>
      <x:c r="F188" s="10" t="str"/>
      <x:c r="G188" s="10" t="str">
        <x:v>2026-08 / état au 2026-09-20</x:v>
      </x:c>
      <x:c r="H188" s="10" t="str">
        <x:v>SYNTHETIQUE</x:v>
      </x:c>
    </x:row>
    <x:row r="189" ht="28" customHeight="1">
      <x:c r="A189" s="11" t="str">
        <x:v>SRC-062-E1</x:v>
      </x:c>
      <x:c r="B189" s="11" t="str">
        <x:v>SRC-062</x:v>
      </x:c>
      <x:c r="C189" s="11" t="str">
        <x:v>analyse</x:v>
      </x:c>
      <x:c r="D189" s="11" t="str">
        <x:v>Adéquation actif-passif</x:v>
      </x:c>
      <x:c r="E189" s="11" t="str">
        <x:v>string</x:v>
      </x:c>
      <x:c r="F189" s="11" t="str"/>
      <x:c r="G189" s="11" t="str">
        <x:v>2026-08 / état au 2026-09-20</x:v>
      </x:c>
      <x:c r="H189" s="11" t="str">
        <x:v>SYNTHETIQUE</x:v>
      </x:c>
    </x:row>
    <x:row r="190" ht="28" customHeight="1">
      <x:c r="A190" s="10" t="str">
        <x:v>SRC-062-E2</x:v>
      </x:c>
      <x:c r="B190" s="10" t="str">
        <x:v>SRC-062</x:v>
      </x:c>
      <x:c r="C190" s="10" t="str">
        <x:v>frequence</x:v>
      </x:c>
      <x:c r="D190" s="10" t="str">
        <x:v>Mensuelle</x:v>
      </x:c>
      <x:c r="E190" s="10" t="str">
        <x:v>string</x:v>
      </x:c>
      <x:c r="F190" s="10" t="str"/>
      <x:c r="G190" s="10" t="str">
        <x:v>2026-08 / état au 2026-09-20</x:v>
      </x:c>
      <x:c r="H190" s="10" t="str">
        <x:v>SYNTHETIQUE</x:v>
      </x:c>
    </x:row>
    <x:row r="191" ht="28" customHeight="1">
      <x:c r="A191" s="11" t="str">
        <x:v>SRC-062-E3</x:v>
      </x:c>
      <x:c r="B191" s="11" t="str">
        <x:v>SRC-062</x:v>
      </x:c>
      <x:c r="C191" s="11" t="str">
        <x:v>validation</x:v>
      </x:c>
      <x:c r="D191" s="11" t="str">
        <x:v>Comité investissements</x:v>
      </x:c>
      <x:c r="E191" s="11" t="str">
        <x:v>string</x:v>
      </x:c>
      <x:c r="F191" s="11" t="str"/>
      <x:c r="G191" s="11" t="str">
        <x:v>2026-08 / état au 2026-09-20</x:v>
      </x:c>
      <x:c r="H191" s="11" t="str">
        <x:v>SYNTHETIQUE</x:v>
      </x:c>
    </x:row>
    <x:row r="192" ht="28" customHeight="1">
      <x:c r="A192" s="10" t="str">
        <x:v>SRC-063-E1</x:v>
      </x:c>
      <x:c r="B192" s="10" t="str">
        <x:v>SRC-063</x:v>
      </x:c>
      <x:c r="C192" s="10" t="str">
        <x:v>regle</x:v>
      </x:c>
      <x:c r="D192" s="10" t="str">
        <x:v>Détection de doublons de factures</x:v>
      </x:c>
      <x:c r="E192" s="10" t="str">
        <x:v>string</x:v>
      </x:c>
      <x:c r="F192" s="10" t="str"/>
      <x:c r="G192" s="10" t="str">
        <x:v>2026-08 / état au 2026-09-20</x:v>
      </x:c>
      <x:c r="H192" s="10" t="str">
        <x:v>SYNTHETIQUE</x:v>
      </x:c>
    </x:row>
    <x:row r="193" ht="28" customHeight="1">
      <x:c r="A193" s="11" t="str">
        <x:v>SRC-063-E2</x:v>
      </x:c>
      <x:c r="B193" s="11" t="str">
        <x:v>SRC-063</x:v>
      </x:c>
      <x:c r="C193" s="11" t="str">
        <x:v>signaux</x:v>
      </x:c>
      <x:c r="D193" s="11" t="str">
        <x:v>Référence; montant; date; fournisseur</x:v>
      </x:c>
      <x:c r="E193" s="11" t="str">
        <x:v>string</x:v>
      </x:c>
      <x:c r="F193" s="11" t="str"/>
      <x:c r="G193" s="11" t="str">
        <x:v>2026-08 / état au 2026-09-20</x:v>
      </x:c>
      <x:c r="H193" s="11" t="str">
        <x:v>SYNTHETIQUE</x:v>
      </x:c>
    </x:row>
    <x:row r="194" ht="28" customHeight="1">
      <x:c r="A194" s="10" t="str">
        <x:v>SRC-063-E3</x:v>
      </x:c>
      <x:c r="B194" s="10" t="str">
        <x:v>SRC-063</x:v>
      </x:c>
      <x:c r="C194" s="10" t="str">
        <x:v>decision</x:v>
      </x:c>
      <x:c r="D194" s="10" t="str">
        <x:v>Revue humaine avant toute mesure</x:v>
      </x:c>
      <x:c r="E194" s="10" t="str">
        <x:v>string</x:v>
      </x:c>
      <x:c r="F194" s="10" t="str"/>
      <x:c r="G194" s="10" t="str">
        <x:v>2026-08 / état au 2026-09-20</x:v>
      </x:c>
      <x:c r="H194" s="10" t="str">
        <x:v>SYNTHETIQUE</x:v>
      </x:c>
    </x:row>
    <x:row r="195" ht="28" customHeight="1">
      <x:c r="A195" s="11" t="str">
        <x:v>SRC-064-E1</x:v>
      </x:c>
      <x:c r="B195" s="11" t="str">
        <x:v>SRC-064</x:v>
      </x:c>
      <x:c r="C195" s="11" t="str">
        <x:v>mois</x:v>
      </x:c>
      <x:c r="D195" s="11" t="str">
        <x:v>2026-08</x:v>
      </x:c>
      <x:c r="E195" s="11" t="str">
        <x:v>string</x:v>
      </x:c>
      <x:c r="F195" s="11" t="str"/>
      <x:c r="G195" s="11" t="str">
        <x:v>2026-08 / état au 2026-09-20</x:v>
      </x:c>
      <x:c r="H195" s="11" t="str">
        <x:v>SYNTHETIQUE</x:v>
      </x:c>
    </x:row>
    <x:row r="196" ht="28" customHeight="1">
      <x:c r="A196" s="10" t="str">
        <x:v>SRC-064-E2</x:v>
      </x:c>
      <x:c r="B196" s="10" t="str">
        <x:v>SRC-064</x:v>
      </x:c>
      <x:c r="C196" s="10" t="str">
        <x:v>alertes</x:v>
      </x:c>
      <x:c r="D196" s="10" t="n">
        <x:v>520</x:v>
      </x:c>
      <x:c r="E196" s="10" t="str">
        <x:v>number</x:v>
      </x:c>
      <x:c r="F196" s="10" t="str"/>
      <x:c r="G196" s="10" t="str">
        <x:v>2026-08 / état au 2026-09-20</x:v>
      </x:c>
      <x:c r="H196" s="10" t="str">
        <x:v>SYNTHETIQUE</x:v>
      </x:c>
    </x:row>
    <x:row r="197" ht="28" customHeight="1">
      <x:c r="A197" s="11" t="str">
        <x:v>SRC-064-E3</x:v>
      </x:c>
      <x:c r="B197" s="11" t="str">
        <x:v>SRC-064</x:v>
      </x:c>
      <x:c r="C197" s="11" t="str">
        <x:v>alertes_confirmees</x:v>
      </x:c>
      <x:c r="D197" s="11" t="n">
        <x:v>78</x:v>
      </x:c>
      <x:c r="E197" s="11" t="str">
        <x:v>number</x:v>
      </x:c>
      <x:c r="F197" s="11" t="str"/>
      <x:c r="G197" s="11" t="str">
        <x:v>2026-08 / état au 2026-09-20</x:v>
      </x:c>
      <x:c r="H197" s="11" t="str">
        <x:v>SYNTHETIQUE</x:v>
      </x:c>
    </x:row>
    <x:row r="198" ht="28" customHeight="1">
      <x:c r="A198" s="10" t="str">
        <x:v>SRC-065-E1</x:v>
      </x:c>
      <x:c r="B198" s="10" t="str">
        <x:v>SRC-065</x:v>
      </x:c>
      <x:c r="C198" s="10" t="str">
        <x:v>dossier</x:v>
      </x:c>
      <x:c r="D198" s="10" t="str">
        <x:v>Enquête antifraude</x:v>
      </x:c>
      <x:c r="E198" s="10" t="str">
        <x:v>string</x:v>
      </x:c>
      <x:c r="F198" s="10" t="str"/>
      <x:c r="G198" s="10" t="str">
        <x:v>2026-08 / état au 2026-09-20</x:v>
      </x:c>
      <x:c r="H198" s="10" t="str">
        <x:v>SYNTHETIQUE</x:v>
      </x:c>
    </x:row>
    <x:row r="199" ht="28" customHeight="1">
      <x:c r="A199" s="11" t="str">
        <x:v>SRC-065-E2</x:v>
      </x:c>
      <x:c r="B199" s="11" t="str">
        <x:v>SRC-065</x:v>
      </x:c>
      <x:c r="C199" s="11" t="str">
        <x:v>export</x:v>
      </x:c>
      <x:c r="D199" s="11" t="str">
        <x:v>Catalogue des étapes uniquement</x:v>
      </x:c>
      <x:c r="E199" s="11" t="str">
        <x:v>string</x:v>
      </x:c>
      <x:c r="F199" s="11" t="str"/>
      <x:c r="G199" s="11" t="str">
        <x:v>2026-08 / état au 2026-09-20</x:v>
      </x:c>
      <x:c r="H199" s="11" t="str">
        <x:v>SYNTHETIQUE</x:v>
      </x:c>
    </x:row>
    <x:row r="200" ht="28" customHeight="1">
      <x:c r="A200" s="10" t="str">
        <x:v>SRC-065-E3</x:v>
      </x:c>
      <x:c r="B200" s="10" t="str">
        <x:v>SRC-065</x:v>
      </x:c>
      <x:c r="C200" s="10" t="str">
        <x:v>restriction</x:v>
      </x:c>
      <x:c r="D200" s="10" t="str">
        <x:v>Accès réservé à l'équipe habilitée</x:v>
      </x:c>
      <x:c r="E200" s="10" t="str">
        <x:v>string</x:v>
      </x:c>
      <x:c r="F200" s="10" t="str"/>
      <x:c r="G200" s="10" t="str">
        <x:v>2026-08 / état au 2026-09-20</x:v>
      </x:c>
      <x:c r="H200" s="10" t="str">
        <x:v>SYNTHETIQUE</x:v>
      </x:c>
    </x:row>
    <x:row r="201" ht="28" customHeight="1">
      <x:c r="A201" s="11" t="str">
        <x:v>SRC-066-E1</x:v>
      </x:c>
      <x:c r="B201" s="11" t="str">
        <x:v>SRC-066</x:v>
      </x:c>
      <x:c r="C201" s="11" t="str">
        <x:v>processus</x:v>
      </x:c>
      <x:c r="D201" s="11" t="str">
        <x:v>Vigilance client</x:v>
      </x:c>
      <x:c r="E201" s="11" t="str">
        <x:v>string</x:v>
      </x:c>
      <x:c r="F201" s="11" t="str"/>
      <x:c r="G201" s="11" t="str">
        <x:v>2026-08 / état au 2026-09-20</x:v>
      </x:c>
      <x:c r="H201" s="11" t="str">
        <x:v>SYNTHETIQUE</x:v>
      </x:c>
    </x:row>
    <x:row r="202" ht="28" customHeight="1">
      <x:c r="A202" s="10" t="str">
        <x:v>SRC-066-E2</x:v>
      </x:c>
      <x:c r="B202" s="10" t="str">
        <x:v>SRC-066</x:v>
      </x:c>
      <x:c r="C202" s="10" t="str">
        <x:v>etapes</x:v>
      </x:c>
      <x:c r="D202" s="10" t="str">
        <x:v>Collecter; vérifier; analyser; escalader</x:v>
      </x:c>
      <x:c r="E202" s="10" t="str">
        <x:v>string</x:v>
      </x:c>
      <x:c r="F202" s="10" t="str"/>
      <x:c r="G202" s="10" t="str">
        <x:v>2026-08 / état au 2026-09-20</x:v>
      </x:c>
      <x:c r="H202" s="10" t="str">
        <x:v>SYNTHETIQUE</x:v>
      </x:c>
    </x:row>
    <x:row r="203" ht="28" customHeight="1">
      <x:c r="A203" s="11" t="str">
        <x:v>SRC-066-E3</x:v>
      </x:c>
      <x:c r="B203" s="11" t="str">
        <x:v>SRC-066</x:v>
      </x:c>
      <x:c r="C203" s="11" t="str">
        <x:v>decision</x:v>
      </x:c>
      <x:c r="D203" s="11" t="str">
        <x:v>Validation conformité</x:v>
      </x:c>
      <x:c r="E203" s="11" t="str">
        <x:v>string</x:v>
      </x:c>
      <x:c r="F203" s="11" t="str"/>
      <x:c r="G203" s="11" t="str">
        <x:v>2026-08 / état au 2026-09-20</x:v>
      </x:c>
      <x:c r="H203" s="11" t="str">
        <x:v>SYNTHETIQUE</x:v>
      </x:c>
    </x:row>
    <x:row r="204" ht="28" customHeight="1">
      <x:c r="A204" s="10" t="str">
        <x:v>SRC-067-E1</x:v>
      </x:c>
      <x:c r="B204" s="10" t="str">
        <x:v>SRC-067</x:v>
      </x:c>
      <x:c r="C204" s="10" t="str">
        <x:v>periode</x:v>
      </x:c>
      <x:c r="D204" s="10" t="str">
        <x:v>2026-08</x:v>
      </x:c>
      <x:c r="E204" s="10" t="str">
        <x:v>string</x:v>
      </x:c>
      <x:c r="F204" s="10" t="str"/>
      <x:c r="G204" s="10" t="str">
        <x:v>2026-08 / état au 2026-09-20</x:v>
      </x:c>
      <x:c r="H204" s="10" t="str">
        <x:v>SYNTHETIQUE</x:v>
      </x:c>
    </x:row>
    <x:row r="205" ht="28" customHeight="1">
      <x:c r="A205" s="11" t="str">
        <x:v>SRC-067-E2</x:v>
      </x:c>
      <x:c r="B205" s="11" t="str">
        <x:v>SRC-067</x:v>
      </x:c>
      <x:c r="C205" s="11" t="str">
        <x:v>indicateur</x:v>
      </x:c>
      <x:c r="D205" s="11" t="str">
        <x:v>Temps agrégé de revue</x:v>
      </x:c>
      <x:c r="E205" s="11" t="str">
        <x:v>string</x:v>
      </x:c>
      <x:c r="F205" s="11" t="str"/>
      <x:c r="G205" s="11" t="str">
        <x:v>2026-08 / état au 2026-09-20</x:v>
      </x:c>
      <x:c r="H205" s="11" t="str">
        <x:v>SYNTHETIQUE</x:v>
      </x:c>
    </x:row>
    <x:row r="206" ht="28" customHeight="1">
      <x:c r="A206" s="10" t="str">
        <x:v>SRC-067-E3</x:v>
      </x:c>
      <x:c r="B206" s="10" t="str">
        <x:v>SRC-067</x:v>
      </x:c>
      <x:c r="C206" s="10" t="str">
        <x:v>contenu_signalements_exporte</x:v>
      </x:c>
      <x:c r="D206" s="10" t="str">
        <x:v>Non</x:v>
      </x:c>
      <x:c r="E206" s="10" t="str">
        <x:v>string</x:v>
      </x:c>
      <x:c r="F206" s="10" t="str"/>
      <x:c r="G206" s="10" t="str">
        <x:v>2026-08 / état au 2026-09-20</x:v>
      </x:c>
      <x:c r="H206" s="10" t="str">
        <x:v>SYNTHETIQUE</x:v>
      </x:c>
    </x:row>
    <x:row r="207" ht="28" customHeight="1">
      <x:c r="A207" s="11" t="str">
        <x:v>SRC-068-E1</x:v>
      </x:c>
      <x:c r="B207" s="11" t="str">
        <x:v>SRC-068</x:v>
      </x:c>
      <x:c r="C207" s="11" t="str">
        <x:v>base</x:v>
      </x:c>
      <x:c r="D207" s="11" t="str">
        <x:v>Connaissances relation client</x:v>
      </x:c>
      <x:c r="E207" s="11" t="str">
        <x:v>string</x:v>
      </x:c>
      <x:c r="F207" s="11" t="str"/>
      <x:c r="G207" s="11" t="str">
        <x:v>2026-08 / état au 2026-09-20</x:v>
      </x:c>
      <x:c r="H207" s="11" t="str">
        <x:v>SYNTHETIQUE</x:v>
      </x:c>
    </x:row>
    <x:row r="208" ht="28" customHeight="1">
      <x:c r="A208" s="10" t="str">
        <x:v>SRC-068-E2</x:v>
      </x:c>
      <x:c r="B208" s="10" t="str">
        <x:v>SRC-068</x:v>
      </x:c>
      <x:c r="C208" s="10" t="str">
        <x:v>articles</x:v>
      </x:c>
      <x:c r="D208" s="10" t="n">
        <x:v>2400</x:v>
      </x:c>
      <x:c r="E208" s="10" t="str">
        <x:v>number</x:v>
      </x:c>
      <x:c r="F208" s="10" t="str"/>
      <x:c r="G208" s="10" t="str">
        <x:v>2026-08 / état au 2026-09-20</x:v>
      </x:c>
      <x:c r="H208" s="10" t="str">
        <x:v>SYNTHETIQUE</x:v>
      </x:c>
    </x:row>
    <x:row r="209" ht="28" customHeight="1">
      <x:c r="A209" s="11" t="str">
        <x:v>SRC-068-E3</x:v>
      </x:c>
      <x:c r="B209" s="11" t="str">
        <x:v>SRC-068</x:v>
      </x:c>
      <x:c r="C209" s="11" t="str">
        <x:v>articles_sans_date_revision</x:v>
      </x:c>
      <x:c r="D209" s="11" t="n">
        <x:v>192</x:v>
      </x:c>
      <x:c r="E209" s="11" t="str">
        <x:v>number</x:v>
      </x:c>
      <x:c r="F209" s="11" t="str"/>
      <x:c r="G209" s="11" t="str">
        <x:v>2026-08 / état au 2026-09-20</x:v>
      </x:c>
      <x:c r="H209" s="11" t="str">
        <x:v>SYNTHETIQUE</x:v>
      </x:c>
    </x:row>
    <x:row r="210" ht="28" customHeight="1">
      <x:c r="A210" s="10" t="str">
        <x:v>SRC-069-E1</x:v>
      </x:c>
      <x:c r="B210" s="10" t="str">
        <x:v>SRC-069</x:v>
      </x:c>
      <x:c r="C210" s="10" t="str">
        <x:v>mois</x:v>
      </x:c>
      <x:c r="D210" s="10" t="str">
        <x:v>2026-08</x:v>
      </x:c>
      <x:c r="E210" s="10" t="str">
        <x:v>string</x:v>
      </x:c>
      <x:c r="F210" s="10" t="str"/>
      <x:c r="G210" s="10" t="str">
        <x:v>2026-08 / état au 2026-09-20</x:v>
      </x:c>
      <x:c r="H210" s="10" t="str">
        <x:v>SYNTHETIQUE</x:v>
      </x:c>
    </x:row>
    <x:row r="211" ht="28" customHeight="1">
      <x:c r="A211" s="11" t="str">
        <x:v>SRC-069-E2</x:v>
      </x:c>
      <x:c r="B211" s="11" t="str">
        <x:v>SRC-069</x:v>
      </x:c>
      <x:c r="C211" s="11" t="str">
        <x:v>contacts</x:v>
      </x:c>
      <x:c r="D211" s="11" t="n">
        <x:v>42000</x:v>
      </x:c>
      <x:c r="E211" s="11" t="str">
        <x:v>number</x:v>
      </x:c>
      <x:c r="F211" s="11" t="str"/>
      <x:c r="G211" s="11" t="str">
        <x:v>2026-08 / état au 2026-09-20</x:v>
      </x:c>
      <x:c r="H211" s="11" t="str">
        <x:v>SYNTHETIQUE</x:v>
      </x:c>
    </x:row>
    <x:row r="212" ht="28" customHeight="1">
      <x:c r="A212" s="10" t="str">
        <x:v>SRC-069-E3</x:v>
      </x:c>
      <x:c r="B212" s="10" t="str">
        <x:v>SRC-069</x:v>
      </x:c>
      <x:c r="C212" s="10" t="str">
        <x:v>contacts_statut_sinistre</x:v>
      </x:c>
      <x:c r="D212" s="10" t="n">
        <x:v>12600</x:v>
      </x:c>
      <x:c r="E212" s="10" t="str">
        <x:v>number</x:v>
      </x:c>
      <x:c r="F212" s="10" t="str"/>
      <x:c r="G212" s="10" t="str">
        <x:v>2026-08 / état au 2026-09-20</x:v>
      </x:c>
      <x:c r="H212" s="10" t="str">
        <x:v>SYNTHETIQUE</x:v>
      </x:c>
    </x:row>
    <x:row r="213" ht="28" customHeight="1">
      <x:c r="A213" s="11" t="str">
        <x:v>SRC-070-E1</x:v>
      </x:c>
      <x:c r="B213" s="11" t="str">
        <x:v>SRC-070</x:v>
      </x:c>
      <x:c r="C213" s="11" t="str">
        <x:v>echange</x:v>
      </x:c>
      <x:c r="D213" s="11" t="str">
        <x:v>MSG-FICT-001</x:v>
      </x:c>
      <x:c r="E213" s="11" t="str">
        <x:v>string</x:v>
      </x:c>
      <x:c r="F213" s="11" t="str"/>
      <x:c r="G213" s="11" t="str">
        <x:v>2026-08 / état au 2026-09-20</x:v>
      </x:c>
      <x:c r="H213" s="11" t="str">
        <x:v>SYNTHETIQUE</x:v>
      </x:c>
    </x:row>
    <x:row r="214" ht="28" customHeight="1">
      <x:c r="A214" s="10" t="str">
        <x:v>SRC-070-E2</x:v>
      </x:c>
      <x:c r="B214" s="10" t="str">
        <x:v>SRC-070</x:v>
      </x:c>
      <x:c r="C214" s="10" t="str">
        <x:v>demande</x:v>
      </x:c>
      <x:c r="D214" s="10" t="str">
        <x:v>Où en est mon dossier habitation ?</x:v>
      </x:c>
      <x:c r="E214" s="10" t="str">
        <x:v>string</x:v>
      </x:c>
      <x:c r="F214" s="10" t="str"/>
      <x:c r="G214" s="10" t="str">
        <x:v>2026-08 / état au 2026-09-20</x:v>
      </x:c>
      <x:c r="H214" s="10" t="str">
        <x:v>SYNTHETIQUE</x:v>
      </x:c>
    </x:row>
    <x:row r="215" ht="28" customHeight="1">
      <x:c r="A215" s="11" t="str">
        <x:v>SRC-070-E3</x:v>
      </x:c>
      <x:c r="B215" s="11" t="str">
        <x:v>SRC-070</x:v>
      </x:c>
      <x:c r="C215" s="11" t="str">
        <x:v>reponse</x:v>
      </x:c>
      <x:c r="D215" s="11" t="str">
        <x:v>Le devis a été reçu; une facture reste attendue</x:v>
      </x:c>
      <x:c r="E215" s="11" t="str">
        <x:v>string</x:v>
      </x:c>
      <x:c r="F215" s="11" t="str"/>
      <x:c r="G215" s="11" t="str">
        <x:v>2026-08 / état au 2026-09-20</x:v>
      </x:c>
      <x:c r="H215" s="11" t="str">
        <x:v>SYNTHETIQUE</x:v>
      </x:c>
    </x:row>
    <x:row r="216" ht="28" customHeight="1">
      <x:c r="A216" s="10" t="str">
        <x:v>SRC-071-E1</x:v>
      </x:c>
      <x:c r="B216" s="10" t="str">
        <x:v>SRC-071</x:v>
      </x:c>
      <x:c r="C216" s="10" t="str">
        <x:v>format_source</x:v>
      </x:c>
      <x:c r="D216" s="10" t="str">
        <x:v>Audio centre de contact</x:v>
      </x:c>
      <x:c r="E216" s="10" t="str">
        <x:v>string</x:v>
      </x:c>
      <x:c r="F216" s="10" t="str"/>
      <x:c r="G216" s="10" t="str">
        <x:v>2026-08 / état au 2026-09-20</x:v>
      </x:c>
      <x:c r="H216" s="10" t="str">
        <x:v>SYNTHETIQUE</x:v>
      </x:c>
    </x:row>
    <x:row r="217" ht="28" customHeight="1">
      <x:c r="A217" s="11" t="str">
        <x:v>SRC-071-E2</x:v>
      </x:c>
      <x:c r="B217" s="11" t="str">
        <x:v>SRC-071</x:v>
      </x:c>
      <x:c r="C217" s="11" t="str">
        <x:v>voix_exportees</x:v>
      </x:c>
      <x:c r="D217" s="11" t="str">
        <x:v>Non</x:v>
      </x:c>
      <x:c r="E217" s="11" t="str">
        <x:v>string</x:v>
      </x:c>
      <x:c r="F217" s="11" t="str"/>
      <x:c r="G217" s="11" t="str">
        <x:v>2026-08 / état au 2026-09-20</x:v>
      </x:c>
      <x:c r="H217" s="11" t="str">
        <x:v>SYNTHETIQUE</x:v>
      </x:c>
    </x:row>
    <x:row r="218" ht="28" customHeight="1">
      <x:c r="A218" s="10" t="str">
        <x:v>SRC-071-E3</x:v>
      </x:c>
      <x:c r="B218" s="10" t="str">
        <x:v>SRC-071</x:v>
      </x:c>
      <x:c r="C218" s="10" t="str">
        <x:v>donnees_collectees</x:v>
      </x:c>
      <x:c r="D218" s="10" t="str">
        <x:v>Motif; durée; état de transcription</x:v>
      </x:c>
      <x:c r="E218" s="10" t="str">
        <x:v>string</x:v>
      </x:c>
      <x:c r="F218" s="10" t="str"/>
      <x:c r="G218" s="10" t="str">
        <x:v>2026-08 / état au 2026-09-20</x:v>
      </x:c>
      <x:c r="H218" s="10" t="str">
        <x:v>SYNTHETIQUE</x:v>
      </x:c>
    </x:row>
    <x:row r="219" ht="28" customHeight="1">
      <x:c r="A219" s="11" t="str">
        <x:v>SRC-072-E1</x:v>
      </x:c>
      <x:c r="B219" s="11" t="str">
        <x:v>SRC-072</x:v>
      </x:c>
      <x:c r="C219" s="11" t="str">
        <x:v>mois</x:v>
      </x:c>
      <x:c r="D219" s="11" t="str">
        <x:v>2026-08</x:v>
      </x:c>
      <x:c r="E219" s="11" t="str">
        <x:v>string</x:v>
      </x:c>
      <x:c r="F219" s="11" t="str"/>
      <x:c r="G219" s="11" t="str">
        <x:v>2026-08 / état au 2026-09-20</x:v>
      </x:c>
      <x:c r="H219" s="11" t="str">
        <x:v>SYNTHETIQUE</x:v>
      </x:c>
    </x:row>
    <x:row r="220" ht="28" customHeight="1">
      <x:c r="A220" s="10" t="str">
        <x:v>SRC-072-E2</x:v>
      </x:c>
      <x:c r="B220" s="10" t="str">
        <x:v>SRC-072</x:v>
      </x:c>
      <x:c r="C220" s="10" t="str">
        <x:v>reclamations</x:v>
      </x:c>
      <x:c r="D220" s="10" t="n">
        <x:v>360</x:v>
      </x:c>
      <x:c r="E220" s="10" t="str">
        <x:v>number</x:v>
      </x:c>
      <x:c r="F220" s="10" t="str"/>
      <x:c r="G220" s="10" t="str">
        <x:v>2026-08 / état au 2026-09-20</x:v>
      </x:c>
      <x:c r="H220" s="10" t="str">
        <x:v>SYNTHETIQUE</x:v>
      </x:c>
    </x:row>
    <x:row r="221" ht="28" customHeight="1">
      <x:c r="A221" s="11" t="str">
        <x:v>SRC-072-E3</x:v>
      </x:c>
      <x:c r="B221" s="11" t="str">
        <x:v>SRC-072</x:v>
      </x:c>
      <x:c r="C221" s="11" t="str">
        <x:v>motif_principal</x:v>
      </x:c>
      <x:c r="D221" s="11" t="str">
        <x:v>Délais et demandes répétées</x:v>
      </x:c>
      <x:c r="E221" s="11" t="str">
        <x:v>string</x:v>
      </x:c>
      <x:c r="F221" s="11" t="str"/>
      <x:c r="G221" s="11" t="str">
        <x:v>2026-08 / état au 2026-09-20</x:v>
      </x:c>
      <x:c r="H221" s="11" t="str">
        <x:v>SYNTHETIQUE</x:v>
      </x:c>
    </x:row>
    <x:row r="222" ht="28" customHeight="1">
      <x:c r="A222" s="10" t="str">
        <x:v>SRC-073-E1</x:v>
      </x:c>
      <x:c r="B222" s="10" t="str">
        <x:v>SRC-073</x:v>
      </x:c>
      <x:c r="C222" s="10" t="str">
        <x:v>parcours</x:v>
      </x:c>
      <x:c r="D222" s="10" t="str">
        <x:v>Déclaration sinistre en ligne</x:v>
      </x:c>
      <x:c r="E222" s="10" t="str">
        <x:v>string</x:v>
      </x:c>
      <x:c r="F222" s="10" t="str"/>
      <x:c r="G222" s="10" t="str">
        <x:v>2026-08 / état au 2026-09-20</x:v>
      </x:c>
      <x:c r="H222" s="10" t="str">
        <x:v>SYNTHETIQUE</x:v>
      </x:c>
    </x:row>
    <x:row r="223" ht="28" customHeight="1">
      <x:c r="A223" s="11" t="str">
        <x:v>SRC-073-E2</x:v>
      </x:c>
      <x:c r="B223" s="11" t="str">
        <x:v>SRC-073</x:v>
      </x:c>
      <x:c r="C223" s="11" t="str">
        <x:v>sessions</x:v>
      </x:c>
      <x:c r="D223" s="11" t="n">
        <x:v>8000</x:v>
      </x:c>
      <x:c r="E223" s="11" t="str">
        <x:v>number</x:v>
      </x:c>
      <x:c r="F223" s="11" t="str"/>
      <x:c r="G223" s="11" t="str">
        <x:v>2026-08 / état au 2026-09-20</x:v>
      </x:c>
      <x:c r="H223" s="11" t="str">
        <x:v>SYNTHETIQUE</x:v>
      </x:c>
    </x:row>
    <x:row r="224" ht="28" customHeight="1">
      <x:c r="A224" s="10" t="str">
        <x:v>SRC-073-E3</x:v>
      </x:c>
      <x:c r="B224" s="10" t="str">
        <x:v>SRC-073</x:v>
      </x:c>
      <x:c r="C224" s="10" t="str">
        <x:v>abandons</x:v>
      </x:c>
      <x:c r="D224" s="10" t="n">
        <x:v>1440</x:v>
      </x:c>
      <x:c r="E224" s="10" t="str">
        <x:v>number</x:v>
      </x:c>
      <x:c r="F224" s="10" t="str"/>
      <x:c r="G224" s="10" t="str">
        <x:v>2026-08 / état au 2026-09-20</x:v>
      </x:c>
      <x:c r="H224" s="10" t="str">
        <x:v>SYNTHETIQUE</x:v>
      </x:c>
    </x:row>
    <x:row r="225" ht="28" customHeight="1">
      <x:c r="A225" s="11" t="str">
        <x:v>SRC-074-E1</x:v>
      </x:c>
      <x:c r="B225" s="11" t="str">
        <x:v>SRC-074</x:v>
      </x:c>
      <x:c r="C225" s="11" t="str">
        <x:v>contrat</x:v>
      </x:c>
      <x:c r="D225" s="11" t="str">
        <x:v>Copilote Bureau AI-006</x:v>
      </x:c>
      <x:c r="E225" s="11" t="str">
        <x:v>string</x:v>
      </x:c>
      <x:c r="F225" s="11" t="str"/>
      <x:c r="G225" s="11" t="str">
        <x:v>2026-08 / état au 2026-09-20</x:v>
      </x:c>
      <x:c r="H225" s="11" t="str">
        <x:v>SYNTHETIQUE</x:v>
      </x:c>
    </x:row>
    <x:row r="226" ht="28" customHeight="1">
      <x:c r="A226" s="10" t="str">
        <x:v>SRC-074-E2</x:v>
      </x:c>
      <x:c r="B226" s="10" t="str">
        <x:v>SRC-074</x:v>
      </x:c>
      <x:c r="C226" s="10" t="str">
        <x:v>licences</x:v>
      </x:c>
      <x:c r="D226" s="10" t="n">
        <x:v>600</x:v>
      </x:c>
      <x:c r="E226" s="10" t="str">
        <x:v>number</x:v>
      </x:c>
      <x:c r="F226" s="10" t="str"/>
      <x:c r="G226" s="10" t="str">
        <x:v>2026-08 / état au 2026-09-20</x:v>
      </x:c>
      <x:c r="H226" s="10" t="str">
        <x:v>SYNTHETIQUE</x:v>
      </x:c>
    </x:row>
    <x:row r="227" ht="28" customHeight="1">
      <x:c r="A227" s="11" t="str">
        <x:v>SRC-074-E3</x:v>
      </x:c>
      <x:c r="B227" s="11" t="str">
        <x:v>SRC-074</x:v>
      </x:c>
      <x:c r="C227" s="11" t="str">
        <x:v>prix_unitaire_mensuel_eur</x:v>
      </x:c>
      <x:c r="D227" s="11" t="n">
        <x:v>24</x:v>
      </x:c>
      <x:c r="E227" s="11" t="str">
        <x:v>number</x:v>
      </x:c>
      <x:c r="F227" s="11" t="str">
        <x:v>EUR</x:v>
      </x:c>
      <x:c r="G227" s="11" t="str">
        <x:v>2026-08 / état au 2026-09-20</x:v>
      </x:c>
      <x:c r="H227" s="11" t="str">
        <x:v>SYNTHETIQUE</x:v>
      </x:c>
    </x:row>
    <x:row r="228" ht="28" customHeight="1">
      <x:c r="A228" s="10" t="str">
        <x:v>SRC-075-E1</x:v>
      </x:c>
      <x:c r="B228" s="10" t="str">
        <x:v>SRC-075</x:v>
      </x:c>
      <x:c r="C228" s="10" t="str">
        <x:v>facture</x:v>
      </x:c>
      <x:c r="D228" s="10" t="str">
        <x:v>FACT-FICT-2026-08-006</x:v>
      </x:c>
      <x:c r="E228" s="10" t="str">
        <x:v>string</x:v>
      </x:c>
      <x:c r="F228" s="10" t="str"/>
      <x:c r="G228" s="10" t="str">
        <x:v>2026-08 / état au 2026-09-20</x:v>
      </x:c>
      <x:c r="H228" s="10" t="str">
        <x:v>SYNTHETIQUE</x:v>
      </x:c>
    </x:row>
    <x:row r="229" ht="28" customHeight="1">
      <x:c r="A229" s="11" t="str">
        <x:v>SRC-075-E2</x:v>
      </x:c>
      <x:c r="B229" s="11" t="str">
        <x:v>SRC-075</x:v>
      </x:c>
      <x:c r="C229" s="11" t="str">
        <x:v>ai_id</x:v>
      </x:c>
      <x:c r="D229" s="11" t="str">
        <x:v>AI-006</x:v>
      </x:c>
      <x:c r="E229" s="11" t="str">
        <x:v>string</x:v>
      </x:c>
      <x:c r="F229" s="11" t="str"/>
      <x:c r="G229" s="11" t="str">
        <x:v>2026-08 / état au 2026-09-20</x:v>
      </x:c>
      <x:c r="H229" s="11" t="str">
        <x:v>SYNTHETIQUE</x:v>
      </x:c>
    </x:row>
    <x:row r="230" ht="28" customHeight="1">
      <x:c r="A230" s="10" t="str">
        <x:v>SRC-075-E3</x:v>
      </x:c>
      <x:c r="B230" s="10" t="str">
        <x:v>SRC-075</x:v>
      </x:c>
      <x:c r="C230" s="10" t="str">
        <x:v>licences_mensuelles_eur</x:v>
      </x:c>
      <x:c r="D230" s="10" t="n">
        <x:v>14400</x:v>
      </x:c>
      <x:c r="E230" s="10" t="str">
        <x:v>number</x:v>
      </x:c>
      <x:c r="F230" s="10" t="str">
        <x:v>EUR</x:v>
      </x:c>
      <x:c r="G230" s="10" t="str">
        <x:v>2026-08 / état au 2026-09-20</x:v>
      </x:c>
      <x:c r="H230" s="10" t="str">
        <x:v>SYNTHETIQUE</x:v>
      </x:c>
    </x:row>
    <x:row r="231" ht="28" customHeight="1">
      <x:c r="A231" s="11" t="str">
        <x:v>SRC-076-E1</x:v>
      </x:c>
      <x:c r="B231" s="11" t="str">
        <x:v>SRC-076</x:v>
      </x:c>
      <x:c r="C231" s="11" t="str">
        <x:v>mois</x:v>
      </x:c>
      <x:c r="D231" s="11" t="str">
        <x:v>2026-08</x:v>
      </x:c>
      <x:c r="E231" s="11" t="str">
        <x:v>string</x:v>
      </x:c>
      <x:c r="F231" s="11" t="str"/>
      <x:c r="G231" s="11" t="str">
        <x:v>2026-08 / état au 2026-09-20</x:v>
      </x:c>
      <x:c r="H231" s="11" t="str">
        <x:v>SYNTHETIQUE</x:v>
      </x:c>
    </x:row>
    <x:row r="232" ht="28" customHeight="1">
      <x:c r="A232" s="10" t="str">
        <x:v>SRC-076-E2</x:v>
      </x:c>
      <x:c r="B232" s="10" t="str">
        <x:v>SRC-076</x:v>
      </x:c>
      <x:c r="C232" s="10" t="str">
        <x:v>ai_id</x:v>
      </x:c>
      <x:c r="D232" s="10" t="str">
        <x:v>AI-001</x:v>
      </x:c>
      <x:c r="E232" s="10" t="str">
        <x:v>string</x:v>
      </x:c>
      <x:c r="F232" s="10" t="str"/>
      <x:c r="G232" s="10" t="str">
        <x:v>2026-08 / état au 2026-09-20</x:v>
      </x:c>
      <x:c r="H232" s="10" t="str">
        <x:v>SYNTHETIQUE</x:v>
      </x:c>
    </x:row>
    <x:row r="233" ht="28" customHeight="1">
      <x:c r="A233" s="11" t="str">
        <x:v>SRC-076-E3</x:v>
      </x:c>
      <x:c r="B233" s="11" t="str">
        <x:v>SRC-076</x:v>
      </x:c>
      <x:c r="C233" s="11" t="str">
        <x:v>cout_technologie_eur</x:v>
      </x:c>
      <x:c r="D233" s="11" t="n">
        <x:v>3400</x:v>
      </x:c>
      <x:c r="E233" s="11" t="str">
        <x:v>number</x:v>
      </x:c>
      <x:c r="F233" s="11" t="str">
        <x:v>EUR</x:v>
      </x:c>
      <x:c r="G233" s="11" t="str">
        <x:v>2026-08 / état au 2026-09-20</x:v>
      </x:c>
      <x:c r="H233" s="11" t="str">
        <x:v>SYNTHETIQUE</x:v>
      </x:c>
    </x:row>
    <x:row r="234" ht="28" customHeight="1">
      <x:c r="A234" s="10" t="str">
        <x:v>SRC-077-E1</x:v>
      </x:c>
      <x:c r="B234" s="10" t="str">
        <x:v>SRC-077</x:v>
      </x:c>
      <x:c r="C234" s="10" t="str">
        <x:v>projet</x:v>
      </x:c>
      <x:c r="D234" s="10" t="str">
        <x:v>Copilote Sinistres AI-001</x:v>
      </x:c>
      <x:c r="E234" s="10" t="str">
        <x:v>string</x:v>
      </x:c>
      <x:c r="F234" s="10" t="str"/>
      <x:c r="G234" s="10" t="str">
        <x:v>2026-08 / état au 2026-09-20</x:v>
      </x:c>
      <x:c r="H234" s="10" t="str">
        <x:v>SYNTHETIQUE</x:v>
      </x:c>
    </x:row>
    <x:row r="235" ht="28" customHeight="1">
      <x:c r="A235" s="11" t="str">
        <x:v>SRC-077-E2</x:v>
      </x:c>
      <x:c r="B235" s="11" t="str">
        <x:v>SRC-077</x:v>
      </x:c>
      <x:c r="C235" s="11" t="str">
        <x:v>integration_imputee_mois_eur</x:v>
      </x:c>
      <x:c r="D235" s="11" t="n">
        <x:v>1700</x:v>
      </x:c>
      <x:c r="E235" s="11" t="str">
        <x:v>number</x:v>
      </x:c>
      <x:c r="F235" s="11" t="str">
        <x:v>EUR</x:v>
      </x:c>
      <x:c r="G235" s="11" t="str">
        <x:v>2026-08 / état au 2026-09-20</x:v>
      </x:c>
      <x:c r="H235" s="11" t="str">
        <x:v>SYNTHETIQUE</x:v>
      </x:c>
    </x:row>
    <x:row r="236" ht="28" customHeight="1">
      <x:c r="A236" s="10" t="str">
        <x:v>SRC-077-E3</x:v>
      </x:c>
      <x:c r="B236" s="10" t="str">
        <x:v>SRC-077</x:v>
      </x:c>
      <x:c r="C236" s="10" t="str">
        <x:v>methode</x:v>
      </x:c>
      <x:c r="D236" s="10" t="str">
        <x:v>Charge projet affectée au mois sans double compte</x:v>
      </x:c>
      <x:c r="E236" s="10" t="str">
        <x:v>string</x:v>
      </x:c>
      <x:c r="F236" s="10" t="str"/>
      <x:c r="G236" s="10" t="str">
        <x:v>2026-08 / état au 2026-09-20</x:v>
      </x:c>
      <x:c r="H236" s="10" t="str">
        <x:v>SYNTHETIQUE</x:v>
      </x:c>
    </x:row>
    <x:row r="237" ht="28" customHeight="1">
      <x:c r="A237" s="11" t="str">
        <x:v>SRC-078-E1</x:v>
      </x:c>
      <x:c r="B237" s="11" t="str">
        <x:v>SRC-078</x:v>
      </x:c>
      <x:c r="C237" s="11" t="str">
        <x:v>ai_id</x:v>
      </x:c>
      <x:c r="D237" s="11" t="str">
        <x:v>AI-001</x:v>
      </x:c>
      <x:c r="E237" s="11" t="str">
        <x:v>string</x:v>
      </x:c>
      <x:c r="F237" s="11" t="str"/>
      <x:c r="G237" s="11" t="str">
        <x:v>2026-08 / état au 2026-09-20</x:v>
      </x:c>
      <x:c r="H237" s="11" t="str">
        <x:v>SYNTHETIQUE</x:v>
      </x:c>
    </x:row>
    <x:row r="238" ht="28" customHeight="1">
      <x:c r="A238" s="10" t="str">
        <x:v>SRC-078-E2</x:v>
      </x:c>
      <x:c r="B238" s="10" t="str">
        <x:v>SRC-078</x:v>
      </x:c>
      <x:c r="C238" s="10" t="str">
        <x:v>formation_supervision_mois_eur</x:v>
      </x:c>
      <x:c r="D238" s="10" t="n">
        <x:v>1700</x:v>
      </x:c>
      <x:c r="E238" s="10" t="str">
        <x:v>number</x:v>
      </x:c>
      <x:c r="F238" s="10" t="str">
        <x:v>EUR</x:v>
      </x:c>
      <x:c r="G238" s="10" t="str">
        <x:v>2026-08 / état au 2026-09-20</x:v>
      </x:c>
      <x:c r="H238" s="10" t="str">
        <x:v>SYNTHETIQUE</x:v>
      </x:c>
    </x:row>
    <x:row r="239" ht="28" customHeight="1">
      <x:c r="A239" s="11" t="str">
        <x:v>SRC-078-E3</x:v>
      </x:c>
      <x:c r="B239" s="11" t="str">
        <x:v>SRC-078</x:v>
      </x:c>
      <x:c r="C239" s="11" t="str">
        <x:v>organisation_run_mois_eur</x:v>
      </x:c>
      <x:c r="D239" s="11" t="n">
        <x:v>850</x:v>
      </x:c>
      <x:c r="E239" s="11" t="str">
        <x:v>number</x:v>
      </x:c>
      <x:c r="F239" s="11" t="str">
        <x:v>EUR</x:v>
      </x:c>
      <x:c r="G239" s="11" t="str">
        <x:v>2026-08 / état au 2026-09-20</x:v>
      </x:c>
      <x:c r="H239" s="11" t="str">
        <x:v>SYNTHETIQUE</x:v>
      </x:c>
    </x:row>
    <x:row r="240" ht="28" customHeight="1">
      <x:c r="A240" s="10" t="str">
        <x:v>SRC-079-E1</x:v>
      </x:c>
      <x:c r="B240" s="10" t="str">
        <x:v>SRC-079</x:v>
      </x:c>
      <x:c r="C240" s="10" t="str">
        <x:v>ai_id</x:v>
      </x:c>
      <x:c r="D240" s="10" t="str">
        <x:v>AI-001</x:v>
      </x:c>
      <x:c r="E240" s="10" t="str">
        <x:v>string</x:v>
      </x:c>
      <x:c r="F240" s="10" t="str"/>
      <x:c r="G240" s="10" t="str">
        <x:v>2026-08 / état au 2026-09-20</x:v>
      </x:c>
      <x:c r="H240" s="10" t="str">
        <x:v>SYNTHETIQUE</x:v>
      </x:c>
    </x:row>
    <x:row r="241" ht="28" customHeight="1">
      <x:c r="A241" s="11" t="str">
        <x:v>SRC-079-E2</x:v>
      </x:c>
      <x:c r="B241" s="11" t="str">
        <x:v>SRC-079</x:v>
      </x:c>
      <x:c r="C241" s="11" t="str">
        <x:v>heures_liberees_mois</x:v>
      </x:c>
      <x:c r="D241" s="11" t="n">
        <x:v>180</x:v>
      </x:c>
      <x:c r="E241" s="11" t="str">
        <x:v>number</x:v>
      </x:c>
      <x:c r="F241" s="11" t="str"/>
      <x:c r="G241" s="11" t="str">
        <x:v>2026-08 / état au 2026-09-20</x:v>
      </x:c>
      <x:c r="H241" s="11" t="str">
        <x:v>SYNTHETIQUE</x:v>
      </x:c>
    </x:row>
    <x:row r="242" ht="28" customHeight="1">
      <x:c r="A242" s="10" t="str">
        <x:v>SRC-079-E3</x:v>
      </x:c>
      <x:c r="B242" s="10" t="str">
        <x:v>SRC-079</x:v>
      </x:c>
      <x:c r="C242" s="10" t="str">
        <x:v>economie_budgetaire_constatee_eur</x:v>
      </x:c>
      <x:c r="D242" s="10" t="n">
        <x:v>0</x:v>
      </x:c>
      <x:c r="E242" s="10" t="str">
        <x:v>number</x:v>
      </x:c>
      <x:c r="F242" s="10" t="str">
        <x:v>EUR</x:v>
      </x:c>
      <x:c r="G242" s="10" t="str">
        <x:v>2026-08 / état au 2026-09-20</x:v>
      </x:c>
      <x:c r="H242" s="10" t="str">
        <x:v>SYNTHETIQUE</x:v>
      </x:c>
    </x:row>
    <x:row r="243" ht="28" customHeight="1">
      <x:c r="A243" s="11" t="str">
        <x:v>SRC-080-E1</x:v>
      </x:c>
      <x:c r="B243" s="11" t="str">
        <x:v>SRC-080</x:v>
      </x:c>
      <x:c r="C243" s="11" t="str">
        <x:v>population</x:v>
      </x:c>
      <x:c r="D243" s="11" t="str">
        <x:v>Équipes du périmètre</x:v>
      </x:c>
      <x:c r="E243" s="11" t="str">
        <x:v>string</x:v>
      </x:c>
      <x:c r="F243" s="11" t="str"/>
      <x:c r="G243" s="11" t="str">
        <x:v>2026-08 / état au 2026-09-20</x:v>
      </x:c>
      <x:c r="H243" s="11" t="str">
        <x:v>SYNTHETIQUE</x:v>
      </x:c>
    </x:row>
    <x:row r="244" ht="28" customHeight="1">
      <x:c r="A244" s="10" t="str">
        <x:v>SRC-080-E2</x:v>
      </x:c>
      <x:c r="B244" s="10" t="str">
        <x:v>SRC-080</x:v>
      </x:c>
      <x:c r="C244" s="10" t="str">
        <x:v>effectif_etp</x:v>
      </x:c>
      <x:c r="D244" s="10" t="n">
        <x:v>1200</x:v>
      </x:c>
      <x:c r="E244" s="10" t="str">
        <x:v>number</x:v>
      </x:c>
      <x:c r="F244" s="10" t="str"/>
      <x:c r="G244" s="10" t="str">
        <x:v>2026-08 / état au 2026-09-20</x:v>
      </x:c>
      <x:c r="H244" s="10" t="str">
        <x:v>SYNTHETIQUE</x:v>
      </x:c>
    </x:row>
    <x:row r="245" ht="28" customHeight="1">
      <x:c r="A245" s="11" t="str">
        <x:v>SRC-080-E3</x:v>
      </x:c>
      <x:c r="B245" s="11" t="str">
        <x:v>SRC-080</x:v>
      </x:c>
      <x:c r="C245" s="11" t="str">
        <x:v>identites_individuelles</x:v>
      </x:c>
      <x:c r="D245" s="11" t="str">
        <x:v>Non collectées</x:v>
      </x:c>
      <x:c r="E245" s="11" t="str">
        <x:v>string</x:v>
      </x:c>
      <x:c r="F245" s="11" t="str"/>
      <x:c r="G245" s="11" t="str">
        <x:v>2026-08 / état au 2026-09-20</x:v>
      </x:c>
      <x:c r="H245" s="11" t="str">
        <x:v>SYNTHETIQUE</x:v>
      </x:c>
    </x:row>
    <x:row r="246" ht="28" customHeight="1">
      <x:c r="A246" s="10" t="str">
        <x:v>SRC-081-E1</x:v>
      </x:c>
      <x:c r="B246" s="10" t="str">
        <x:v>SRC-081</x:v>
      </x:c>
      <x:c r="C246" s="10" t="str">
        <x:v>population</x:v>
      </x:c>
      <x:c r="D246" s="10" t="str">
        <x:v>Gestionnaires du pilote</x:v>
      </x:c>
      <x:c r="E246" s="10" t="str">
        <x:v>string</x:v>
      </x:c>
      <x:c r="F246" s="10" t="str"/>
      <x:c r="G246" s="10" t="str">
        <x:v>2026-08 / état au 2026-09-20</x:v>
      </x:c>
      <x:c r="H246" s="10" t="str">
        <x:v>SYNTHETIQUE</x:v>
      </x:c>
    </x:row>
    <x:row r="247" ht="28" customHeight="1">
      <x:c r="A247" s="11" t="str">
        <x:v>SRC-081-E2</x:v>
      </x:c>
      <x:c r="B247" s="11" t="str">
        <x:v>SRC-081</x:v>
      </x:c>
      <x:c r="C247" s="11" t="str">
        <x:v>formes</x:v>
      </x:c>
      <x:c r="D247" s="11" t="n">
        <x:v>42</x:v>
      </x:c>
      <x:c r="E247" s="11" t="str">
        <x:v>number</x:v>
      </x:c>
      <x:c r="F247" s="11" t="str"/>
      <x:c r="G247" s="11" t="str">
        <x:v>2026-08 / état au 2026-09-20</x:v>
      </x:c>
      <x:c r="H247" s="11" t="str">
        <x:v>SYNTHETIQUE</x:v>
      </x:c>
    </x:row>
    <x:row r="248" ht="28" customHeight="1">
      <x:c r="A248" s="10" t="str">
        <x:v>SRC-081-E3</x:v>
      </x:c>
      <x:c r="B248" s="10" t="str">
        <x:v>SRC-081</x:v>
      </x:c>
      <x:c r="C248" s="10" t="str">
        <x:v>cible</x:v>
      </x:c>
      <x:c r="D248" s="10" t="n">
        <x:v>60</x:v>
      </x:c>
      <x:c r="E248" s="10" t="str">
        <x:v>number</x:v>
      </x:c>
      <x:c r="F248" s="10" t="str"/>
      <x:c r="G248" s="10" t="str">
        <x:v>2026-08 / état au 2026-09-20</x:v>
      </x:c>
      <x:c r="H248" s="10" t="str">
        <x:v>SYNTHETIQUE</x:v>
      </x:c>
    </x:row>
    <x:row r="249" ht="28" customHeight="1">
      <x:c r="A249" s="11" t="str">
        <x:v>SRC-082-E1</x:v>
      </x:c>
      <x:c r="B249" s="11" t="str">
        <x:v>SRC-082</x:v>
      </x:c>
      <x:c r="C249" s="11" t="str">
        <x:v>outil</x:v>
      </x:c>
      <x:c r="D249" s="11" t="str">
        <x:v>Copilote Bureau AI-006</x:v>
      </x:c>
      <x:c r="E249" s="11" t="str">
        <x:v>string</x:v>
      </x:c>
      <x:c r="F249" s="11" t="str"/>
      <x:c r="G249" s="11" t="str">
        <x:v>2026-08 / état au 2026-09-20</x:v>
      </x:c>
      <x:c r="H249" s="11" t="str">
        <x:v>SYNTHETIQUE</x:v>
      </x:c>
    </x:row>
    <x:row r="250" ht="28" customHeight="1">
      <x:c r="A250" s="10" t="str">
        <x:v>SRC-082-E2</x:v>
      </x:c>
      <x:c r="B250" s="10" t="str">
        <x:v>SRC-082</x:v>
      </x:c>
      <x:c r="C250" s="10" t="str">
        <x:v>actifs_mensuels</x:v>
      </x:c>
      <x:c r="D250" s="10" t="n">
        <x:v>210</x:v>
      </x:c>
      <x:c r="E250" s="10" t="str">
        <x:v>number</x:v>
      </x:c>
      <x:c r="F250" s="10" t="str"/>
      <x:c r="G250" s="10" t="str">
        <x:v>2026-08 / état au 2026-09-20</x:v>
      </x:c>
      <x:c r="H250" s="10" t="str">
        <x:v>SYNTHETIQUE</x:v>
      </x:c>
    </x:row>
    <x:row r="251" ht="28" customHeight="1">
      <x:c r="A251" s="11" t="str">
        <x:v>SRC-082-E3</x:v>
      </x:c>
      <x:c r="B251" s="11" t="str">
        <x:v>SRC-082</x:v>
      </x:c>
      <x:c r="C251" s="11" t="str">
        <x:v>licences_attribuees</x:v>
      </x:c>
      <x:c r="D251" s="11" t="n">
        <x:v>600</x:v>
      </x:c>
      <x:c r="E251" s="11" t="str">
        <x:v>number</x:v>
      </x:c>
      <x:c r="F251" s="11" t="str"/>
      <x:c r="G251" s="11" t="str">
        <x:v>2026-08 / état au 2026-09-20</x:v>
      </x:c>
      <x:c r="H251" s="11" t="str">
        <x:v>SYNTHETIQUE</x:v>
      </x:c>
    </x:row>
    <x:row r="252" ht="28" customHeight="1">
      <x:c r="A252" s="10" t="str">
        <x:v>SRC-083-E1</x:v>
      </x:c>
      <x:c r="B252" s="10" t="str">
        <x:v>SRC-083</x:v>
      </x:c>
      <x:c r="C252" s="10" t="str">
        <x:v>processus</x:v>
      </x:c>
      <x:c r="D252" s="10" t="str">
        <x:v>Préparation entretien recrutement</x:v>
      </x:c>
      <x:c r="E252" s="10" t="str">
        <x:v>string</x:v>
      </x:c>
      <x:c r="F252" s="10" t="str"/>
      <x:c r="G252" s="10" t="str">
        <x:v>2026-08 / état au 2026-09-20</x:v>
      </x:c>
      <x:c r="H252" s="10" t="str">
        <x:v>SYNTHETIQUE</x:v>
      </x:c>
    </x:row>
    <x:row r="253" ht="28" customHeight="1">
      <x:c r="A253" s="11" t="str">
        <x:v>SRC-083-E2</x:v>
      </x:c>
      <x:c r="B253" s="11" t="str">
        <x:v>SRC-083</x:v>
      </x:c>
      <x:c r="C253" s="11" t="str">
        <x:v>assistance</x:v>
      </x:c>
      <x:c r="D253" s="11" t="str">
        <x:v>Synthèse de critères du poste</x:v>
      </x:c>
      <x:c r="E253" s="11" t="str">
        <x:v>string</x:v>
      </x:c>
      <x:c r="F253" s="11" t="str"/>
      <x:c r="G253" s="11" t="str">
        <x:v>2026-08 / état au 2026-09-20</x:v>
      </x:c>
      <x:c r="H253" s="11" t="str">
        <x:v>SYNTHETIQUE</x:v>
      </x:c>
    </x:row>
    <x:row r="254" ht="28" customHeight="1">
      <x:c r="A254" s="10" t="str">
        <x:v>SRC-083-E3</x:v>
      </x:c>
      <x:c r="B254" s="10" t="str">
        <x:v>SRC-083</x:v>
      </x:c>
      <x:c r="C254" s="10" t="str">
        <x:v>decision</x:v>
      </x:c>
      <x:c r="D254" s="10" t="str">
        <x:v>Sélection par recruteur</x:v>
      </x:c>
      <x:c r="E254" s="10" t="str">
        <x:v>string</x:v>
      </x:c>
      <x:c r="F254" s="10" t="str"/>
      <x:c r="G254" s="10" t="str">
        <x:v>2026-08 / état au 2026-09-20</x:v>
      </x:c>
      <x:c r="H254" s="10" t="str">
        <x:v>SYNTHETIQUE</x:v>
      </x:c>
    </x:row>
    <x:row r="255" ht="28" customHeight="1">
      <x:c r="A255" s="11" t="str">
        <x:v>SRC-084-E1</x:v>
      </x:c>
      <x:c r="B255" s="11" t="str">
        <x:v>SRC-084</x:v>
      </x:c>
      <x:c r="C255" s="11" t="str">
        <x:v>population</x:v>
      </x:c>
      <x:c r="D255" s="11" t="str">
        <x:v>Gestionnaires du pilote</x:v>
      </x:c>
      <x:c r="E255" s="11" t="str">
        <x:v>string</x:v>
      </x:c>
      <x:c r="F255" s="11" t="str"/>
      <x:c r="G255" s="11" t="str">
        <x:v>2026-08 / état au 2026-09-20</x:v>
      </x:c>
      <x:c r="H255" s="11" t="str">
        <x:v>SYNTHETIQUE</x:v>
      </x:c>
    </x:row>
    <x:row r="256" ht="28" customHeight="1">
      <x:c r="A256" s="10" t="str">
        <x:v>SRC-084-E2</x:v>
      </x:c>
      <x:c r="B256" s="10" t="str">
        <x:v>SRC-084</x:v>
      </x:c>
      <x:c r="C256" s="10" t="str">
        <x:v>participants_test</x:v>
      </x:c>
      <x:c r="D256" s="10" t="n">
        <x:v>42</x:v>
      </x:c>
      <x:c r="E256" s="10" t="str">
        <x:v>number</x:v>
      </x:c>
      <x:c r="F256" s="10" t="str"/>
      <x:c r="G256" s="10" t="str">
        <x:v>2026-08 / état au 2026-09-20</x:v>
      </x:c>
      <x:c r="H256" s="10" t="str">
        <x:v>SYNTHETIQUE</x:v>
      </x:c>
    </x:row>
    <x:row r="257" ht="28" customHeight="1">
      <x:c r="A257" s="11" t="str">
        <x:v>SRC-084-E3</x:v>
      </x:c>
      <x:c r="B257" s="11" t="str">
        <x:v>SRC-084</x:v>
      </x:c>
      <x:c r="C257" s="11" t="str">
        <x:v>reussite_verification_sources</x:v>
      </x:c>
      <x:c r="D257" s="11" t="n">
        <x:v>28</x:v>
      </x:c>
      <x:c r="E257" s="11" t="str">
        <x:v>number</x:v>
      </x:c>
      <x:c r="F257" s="11" t="str"/>
      <x:c r="G257" s="11" t="str">
        <x:v>2026-08 / état au 2026-09-20</x:v>
      </x:c>
      <x:c r="H257" s="11" t="str">
        <x:v>SYNTHETIQUE</x:v>
      </x:c>
    </x:row>
    <x:row r="258" ht="28" customHeight="1">
      <x:c r="A258" s="10" t="str">
        <x:v>SRC-085-E1</x:v>
      </x:c>
      <x:c r="B258" s="10" t="str">
        <x:v>SRC-085</x:v>
      </x:c>
      <x:c r="C258" s="10" t="str">
        <x:v>perimetre</x:v>
      </x:c>
      <x:c r="D258" s="10" t="str">
        <x:v>Applications décrites dans le jeu</x:v>
      </x:c>
      <x:c r="E258" s="10" t="str">
        <x:v>string</x:v>
      </x:c>
      <x:c r="F258" s="10" t="str"/>
      <x:c r="G258" s="10" t="str">
        <x:v>2026-08 / état au 2026-09-20</x:v>
      </x:c>
      <x:c r="H258" s="10" t="str">
        <x:v>SYNTHETIQUE</x:v>
      </x:c>
    </x:row>
    <x:row r="259" ht="28" customHeight="1">
      <x:c r="A259" s="11" t="str">
        <x:v>SRC-085-E2</x:v>
      </x:c>
      <x:c r="B259" s="11" t="str">
        <x:v>SRC-085</x:v>
      </x:c>
      <x:c r="C259" s="11" t="str">
        <x:v>applications</x:v>
      </x:c>
      <x:c r="D259" s="11" t="n">
        <x:v>24</x:v>
      </x:c>
      <x:c r="E259" s="11" t="str">
        <x:v>number</x:v>
      </x:c>
      <x:c r="F259" s="11" t="str"/>
      <x:c r="G259" s="11" t="str">
        <x:v>2026-08 / état au 2026-09-20</x:v>
      </x:c>
      <x:c r="H259" s="11" t="str">
        <x:v>SYNTHETIQUE</x:v>
      </x:c>
    </x:row>
    <x:row r="260" ht="28" customHeight="1">
      <x:c r="A260" s="10" t="str">
        <x:v>SRC-085-E3</x:v>
      </x:c>
      <x:c r="B260" s="10" t="str">
        <x:v>SRC-085</x:v>
      </x:c>
      <x:c r="C260" s="10" t="str">
        <x:v>noms</x:v>
      </x:c>
      <x:c r="D260" s="10" t="str">
        <x:v>Entièrement fictifs</x:v>
      </x:c>
      <x:c r="E260" s="10" t="str">
        <x:v>string</x:v>
      </x:c>
      <x:c r="F260" s="10" t="str"/>
      <x:c r="G260" s="10" t="str">
        <x:v>2026-08 / état au 2026-09-20</x:v>
      </x:c>
      <x:c r="H260" s="10" t="str">
        <x:v>SYNTHETIQUE</x:v>
      </x:c>
    </x:row>
    <x:row r="261" ht="28" customHeight="1">
      <x:c r="A261" s="11" t="str">
        <x:v>SRC-086-E1</x:v>
      </x:c>
      <x:c r="B261" s="11" t="str">
        <x:v>SRC-086</x:v>
      </x:c>
      <x:c r="C261" s="11" t="str">
        <x:v>api</x:v>
      </x:c>
      <x:c r="D261" s="11" t="str">
        <x:v>POST /sinistres/payment-requests</x:v>
      </x:c>
      <x:c r="E261" s="11" t="str">
        <x:v>string</x:v>
      </x:c>
      <x:c r="F261" s="11" t="str"/>
      <x:c r="G261" s="11" t="str">
        <x:v>2026-08 / état au 2026-09-20</x:v>
      </x:c>
      <x:c r="H261" s="11" t="str">
        <x:v>SYNTHETIQUE</x:v>
      </x:c>
    </x:row>
    <x:row r="262" ht="28" customHeight="1">
      <x:c r="A262" s="10" t="str">
        <x:v>SRC-086-E2</x:v>
      </x:c>
      <x:c r="B262" s="10" t="str">
        <x:v>SRC-086</x:v>
      </x:c>
      <x:c r="C262" s="10" t="str">
        <x:v>application</x:v>
      </x:c>
      <x:c r="D262" s="10" t="str">
        <x:v>APP-006</x:v>
      </x:c>
      <x:c r="E262" s="10" t="str">
        <x:v>string</x:v>
      </x:c>
      <x:c r="F262" s="10" t="str"/>
      <x:c r="G262" s="10" t="str">
        <x:v>2026-08 / état au 2026-09-20</x:v>
      </x:c>
      <x:c r="H262" s="10" t="str">
        <x:v>SYNTHETIQUE</x:v>
      </x:c>
    </x:row>
    <x:row r="263" ht="28" customHeight="1">
      <x:c r="A263" s="11" t="str">
        <x:v>SRC-086-E3</x:v>
      </x:c>
      <x:c r="B263" s="11" t="str">
        <x:v>SRC-086</x:v>
      </x:c>
      <x:c r="C263" s="11" t="str">
        <x:v>usage</x:v>
      </x:c>
      <x:c r="D263" s="11" t="str">
        <x:v>Créer une demande de paiement</x:v>
      </x:c>
      <x:c r="E263" s="11" t="str">
        <x:v>string</x:v>
      </x:c>
      <x:c r="F263" s="11" t="str"/>
      <x:c r="G263" s="11" t="str">
        <x:v>2026-08 / état au 2026-09-20</x:v>
      </x:c>
      <x:c r="H263" s="11" t="str">
        <x:v>SYNTHETIQUE</x:v>
      </x:c>
    </x:row>
    <x:row r="264" ht="28" customHeight="1">
      <x:c r="A264" s="10" t="str">
        <x:v>SRC-087-E1</x:v>
      </x:c>
      <x:c r="B264" s="10" t="str">
        <x:v>SRC-087</x:v>
      </x:c>
      <x:c r="C264" s="10" t="str">
        <x:v>agent</x:v>
      </x:c>
      <x:c r="D264" s="10" t="str">
        <x:v>AI-002</x:v>
      </x:c>
      <x:c r="E264" s="10" t="str">
        <x:v>string</x:v>
      </x:c>
      <x:c r="F264" s="10" t="str"/>
      <x:c r="G264" s="10" t="str">
        <x:v>2026-08 / état au 2026-09-20</x:v>
      </x:c>
      <x:c r="H264" s="10" t="str">
        <x:v>SYNTHETIQUE</x:v>
      </x:c>
    </x:row>
    <x:row r="265" ht="28" customHeight="1">
      <x:c r="A265" s="11" t="str">
        <x:v>SRC-087-E2</x:v>
      </x:c>
      <x:c r="B265" s="11" t="str">
        <x:v>SRC-087</x:v>
      </x:c>
      <x:c r="C265" s="11" t="str">
        <x:v>scope_effectif</x:v>
      </x:c>
      <x:c r="D265" s="11" t="str">
        <x:v>payment.execute</x:v>
      </x:c>
      <x:c r="E265" s="11" t="str">
        <x:v>string</x:v>
      </x:c>
      <x:c r="F265" s="11" t="str"/>
      <x:c r="G265" s="11" t="str">
        <x:v>2026-08 / état au 2026-09-20</x:v>
      </x:c>
      <x:c r="H265" s="11" t="str">
        <x:v>SYNTHETIQUE</x:v>
      </x:c>
    </x:row>
    <x:row r="266" ht="28" customHeight="1">
      <x:c r="A266" s="10" t="str">
        <x:v>SRC-087-E3</x:v>
      </x:c>
      <x:c r="B266" s="10" t="str">
        <x:v>SRC-087</x:v>
      </x:c>
      <x:c r="C266" s="10" t="str">
        <x:v>scope_attendu</x:v>
      </x:c>
      <x:c r="D266" s="10" t="str">
        <x:v>payment.draft</x:v>
      </x:c>
      <x:c r="E266" s="10" t="str">
        <x:v>string</x:v>
      </x:c>
      <x:c r="F266" s="10" t="str"/>
      <x:c r="G266" s="10" t="str">
        <x:v>2026-08 / état au 2026-09-20</x:v>
      </x:c>
      <x:c r="H266" s="10" t="str">
        <x:v>SYNTHETIQUE</x:v>
      </x:c>
    </x:row>
    <x:row r="267" ht="28" customHeight="1">
      <x:c r="A267" s="11" t="str">
        <x:v>SRC-088-E1</x:v>
      </x:c>
      <x:c r="B267" s="11" t="str">
        <x:v>SRC-088</x:v>
      </x:c>
      <x:c r="C267" s="11" t="str">
        <x:v>mois</x:v>
      </x:c>
      <x:c r="D267" s="11" t="str">
        <x:v>2026-08</x:v>
      </x:c>
      <x:c r="E267" s="11" t="str">
        <x:v>string</x:v>
      </x:c>
      <x:c r="F267" s="11" t="str"/>
      <x:c r="G267" s="11" t="str">
        <x:v>2026-08 / état au 2026-09-20</x:v>
      </x:c>
      <x:c r="H267" s="11" t="str">
        <x:v>SYNTHETIQUE</x:v>
      </x:c>
    </x:row>
    <x:row r="268" ht="28" customHeight="1">
      <x:c r="A268" s="10" t="str">
        <x:v>SRC-088-E2</x:v>
      </x:c>
      <x:c r="B268" s="10" t="str">
        <x:v>SRC-088</x:v>
      </x:c>
      <x:c r="C268" s="10" t="str">
        <x:v>tickets_support</x:v>
      </x:c>
      <x:c r="D268" s="10" t="n">
        <x:v>1800</x:v>
      </x:c>
      <x:c r="E268" s="10" t="str">
        <x:v>number</x:v>
      </x:c>
      <x:c r="F268" s="10" t="str"/>
      <x:c r="G268" s="10" t="str">
        <x:v>2026-08 / état au 2026-09-20</x:v>
      </x:c>
      <x:c r="H268" s="10" t="str">
        <x:v>SYNTHETIQUE</x:v>
      </x:c>
    </x:row>
    <x:row r="269" ht="28" customHeight="1">
      <x:c r="A269" s="11" t="str">
        <x:v>SRC-088-E3</x:v>
      </x:c>
      <x:c r="B269" s="11" t="str">
        <x:v>SRC-088</x:v>
      </x:c>
      <x:c r="C269" s="11" t="str">
        <x:v>tickets_acces_donnees</x:v>
      </x:c>
      <x:c r="D269" s="11" t="n">
        <x:v>270</x:v>
      </x:c>
      <x:c r="E269" s="11" t="str">
        <x:v>number</x:v>
      </x:c>
      <x:c r="F269" s="11" t="str"/>
      <x:c r="G269" s="11" t="str">
        <x:v>2026-08 / état au 2026-09-20</x:v>
      </x:c>
      <x:c r="H269" s="11" t="str">
        <x:v>SYNTHETIQUE</x:v>
      </x:c>
    </x:row>
    <x:row r="270" ht="28" customHeight="1">
      <x:c r="A270" s="10" t="str">
        <x:v>SRC-089-E1</x:v>
      </x:c>
      <x:c r="B270" s="10" t="str">
        <x:v>SRC-089</x:v>
      </x:c>
      <x:c r="C270" s="10" t="str">
        <x:v>robot</x:v>
      </x:c>
      <x:c r="D270" s="10" t="str">
        <x:v>RPA rapprochement primes</x:v>
      </x:c>
      <x:c r="E270" s="10" t="str">
        <x:v>string</x:v>
      </x:c>
      <x:c r="F270" s="10" t="str"/>
      <x:c r="G270" s="10" t="str">
        <x:v>2026-08 / état au 2026-09-20</x:v>
      </x:c>
      <x:c r="H270" s="10" t="str">
        <x:v>SYNTHETIQUE</x:v>
      </x:c>
    </x:row>
    <x:row r="271" ht="28" customHeight="1">
      <x:c r="A271" s="11" t="str">
        <x:v>SRC-089-E2</x:v>
      </x:c>
      <x:c r="B271" s="11" t="str">
        <x:v>SRC-089</x:v>
      </x:c>
      <x:c r="C271" s="11" t="str">
        <x:v>nature</x:v>
      </x:c>
      <x:c r="D271" s="11" t="str">
        <x:v>Automatisation déterministe</x:v>
      </x:c>
      <x:c r="E271" s="11" t="str">
        <x:v>string</x:v>
      </x:c>
      <x:c r="F271" s="11" t="str"/>
      <x:c r="G271" s="11" t="str">
        <x:v>2026-08 / état au 2026-09-20</x:v>
      </x:c>
      <x:c r="H271" s="11" t="str">
        <x:v>SYNTHETIQUE</x:v>
      </x:c>
    </x:row>
    <x:row r="272" ht="28" customHeight="1">
      <x:c r="A272" s="10" t="str">
        <x:v>SRC-089-E3</x:v>
      </x:c>
      <x:c r="B272" s="10" t="str">
        <x:v>SRC-089</x:v>
      </x:c>
      <x:c r="C272" s="10" t="str">
        <x:v>est_ia</x:v>
      </x:c>
      <x:c r="D272" s="10" t="str">
        <x:v>Non</x:v>
      </x:c>
      <x:c r="E272" s="10" t="str">
        <x:v>string</x:v>
      </x:c>
      <x:c r="F272" s="10" t="str"/>
      <x:c r="G272" s="10" t="str">
        <x:v>2026-08 / état au 2026-09-20</x:v>
      </x:c>
      <x:c r="H272" s="10" t="str">
        <x:v>SYNTHETIQUE</x:v>
      </x:c>
    </x:row>
    <x:row r="273" ht="28" customHeight="1">
      <x:c r="A273" s="11" t="str">
        <x:v>SRC-090-E1</x:v>
      </x:c>
      <x:c r="B273" s="11" t="str">
        <x:v>SRC-090</x:v>
      </x:c>
      <x:c r="C273" s="11" t="str">
        <x:v>service</x:v>
      </x:c>
      <x:c r="D273" s="11" t="str">
        <x:v>Copilote Sinistres</x:v>
      </x:c>
      <x:c r="E273" s="11" t="str">
        <x:v>string</x:v>
      </x:c>
      <x:c r="F273" s="11" t="str"/>
      <x:c r="G273" s="11" t="str">
        <x:v>2026-08 / état au 2026-09-20</x:v>
      </x:c>
      <x:c r="H273" s="11" t="str">
        <x:v>SYNTHETIQUE</x:v>
      </x:c>
    </x:row>
    <x:row r="274" ht="28" customHeight="1">
      <x:c r="A274" s="10" t="str">
        <x:v>SRC-090-E2</x:v>
      </x:c>
      <x:c r="B274" s="10" t="str">
        <x:v>SRC-090</x:v>
      </x:c>
      <x:c r="C274" s="10" t="str">
        <x:v>version</x:v>
      </x:c>
      <x:c r="D274" s="10" t="str">
        <x:v>1.8.2</x:v>
      </x:c>
      <x:c r="E274" s="10" t="str">
        <x:v>string</x:v>
      </x:c>
      <x:c r="F274" s="10" t="str"/>
      <x:c r="G274" s="10" t="str">
        <x:v>2026-08 / état au 2026-09-20</x:v>
      </x:c>
      <x:c r="H274" s="10" t="str">
        <x:v>SYNTHETIQUE</x:v>
      </x:c>
    </x:row>
    <x:row r="275" ht="28" customHeight="1">
      <x:c r="A275" s="11" t="str">
        <x:v>SRC-090-E3</x:v>
      </x:c>
      <x:c r="B275" s="11" t="str">
        <x:v>SRC-090</x:v>
      </x:c>
      <x:c r="C275" s="11" t="str">
        <x:v>tests</x:v>
      </x:c>
      <x:c r="D275" s="11" t="str">
        <x:v>Extraction; citations; refus de contenu hors périmètre</x:v>
      </x:c>
      <x:c r="E275" s="11" t="str">
        <x:v>string</x:v>
      </x:c>
      <x:c r="F275" s="11" t="str"/>
      <x:c r="G275" s="11" t="str">
        <x:v>2026-08 / état au 2026-09-20</x:v>
      </x:c>
      <x:c r="H275" s="11" t="str">
        <x:v>SYNTHETIQUE</x:v>
      </x:c>
    </x:row>
    <x:row r="276" ht="28" customHeight="1">
      <x:c r="A276" s="10" t="str">
        <x:v>SRC-091-E1</x:v>
      </x:c>
      <x:c r="B276" s="10" t="str">
        <x:v>SRC-091</x:v>
      </x:c>
      <x:c r="C276" s="10" t="str">
        <x:v>application</x:v>
      </x:c>
      <x:c r="D276" s="10" t="str">
        <x:v>APP-006</x:v>
      </x:c>
      <x:c r="E276" s="10" t="str">
        <x:v>string</x:v>
      </x:c>
      <x:c r="F276" s="10" t="str"/>
      <x:c r="G276" s="10" t="str">
        <x:v>2026-08 / état au 2026-09-20</x:v>
      </x:c>
      <x:c r="H276" s="10" t="str">
        <x:v>SYNTHETIQUE</x:v>
      </x:c>
    </x:row>
    <x:row r="277" ht="28" customHeight="1">
      <x:c r="A277" s="11" t="str">
        <x:v>SRC-091-E2</x:v>
      </x:c>
      <x:c r="B277" s="11" t="str">
        <x:v>SRC-091</x:v>
      </x:c>
      <x:c r="C277" s="11" t="str">
        <x:v>disponibilite_pourcent</x:v>
      </x:c>
      <x:c r="D277" s="11" t="n">
        <x:v>99.9</x:v>
      </x:c>
      <x:c r="E277" s="11" t="str">
        <x:v>number</x:v>
      </x:c>
      <x:c r="F277" s="11" t="str">
        <x:v>pourcent</x:v>
      </x:c>
      <x:c r="G277" s="11" t="str">
        <x:v>2026-08 / état au 2026-09-20</x:v>
      </x:c>
      <x:c r="H277" s="11" t="str">
        <x:v>SYNTHETIQUE</x:v>
      </x:c>
    </x:row>
    <x:row r="278" ht="28" customHeight="1">
      <x:c r="A278" s="10" t="str">
        <x:v>SRC-091-E3</x:v>
      </x:c>
      <x:c r="B278" s="10" t="str">
        <x:v>SRC-091</x:v>
      </x:c>
      <x:c r="C278" s="10" t="str">
        <x:v>objectif_reprise_heures</x:v>
      </x:c>
      <x:c r="D278" s="10" t="n">
        <x:v>4</x:v>
      </x:c>
      <x:c r="E278" s="10" t="str">
        <x:v>number</x:v>
      </x:c>
      <x:c r="F278" s="10" t="str">
        <x:v>heures</x:v>
      </x:c>
      <x:c r="G278" s="10" t="str">
        <x:v>2026-08 / état au 2026-09-20</x:v>
      </x:c>
      <x:c r="H278" s="10" t="str">
        <x:v>SYNTHETIQUE</x:v>
      </x:c>
    </x:row>
    <x:row r="279" ht="28" customHeight="1">
      <x:c r="A279" s="11" t="str">
        <x:v>SRC-092-E1</x:v>
      </x:c>
      <x:c r="B279" s="11" t="str">
        <x:v>SRC-092</x:v>
      </x:c>
      <x:c r="C279" s="11" t="str">
        <x:v>dataset</x:v>
      </x:c>
      <x:c r="D279" s="11" t="str">
        <x:v>DS-SIN-01</x:v>
      </x:c>
      <x:c r="E279" s="11" t="str">
        <x:v>string</x:v>
      </x:c>
      <x:c r="F279" s="11" t="str"/>
      <x:c r="G279" s="11" t="str">
        <x:v>2026-08 / état au 2026-09-20</x:v>
      </x:c>
      <x:c r="H279" s="11" t="str">
        <x:v>SYNTHETIQUE</x:v>
      </x:c>
    </x:row>
    <x:row r="280" ht="28" customHeight="1">
      <x:c r="A280" s="10" t="str">
        <x:v>SRC-092-E2</x:v>
      </x:c>
      <x:c r="B280" s="10" t="str">
        <x:v>SRC-092</x:v>
      </x:c>
      <x:c r="C280" s="10" t="str">
        <x:v>owner</x:v>
      </x:c>
      <x:c r="D280" s="10" t="str">
        <x:v>Direction sinistres</x:v>
      </x:c>
      <x:c r="E280" s="10" t="str">
        <x:v>string</x:v>
      </x:c>
      <x:c r="F280" s="10" t="str"/>
      <x:c r="G280" s="10" t="str">
        <x:v>2026-08 / état au 2026-09-20</x:v>
      </x:c>
      <x:c r="H280" s="10" t="str">
        <x:v>SYNTHETIQUE</x:v>
      </x:c>
    </x:row>
    <x:row r="281" ht="28" customHeight="1">
      <x:c r="A281" s="11" t="str">
        <x:v>SRC-092-E3</x:v>
      </x:c>
      <x:c r="B281" s="11" t="str">
        <x:v>SRC-092</x:v>
      </x:c>
      <x:c r="C281" s="11" t="str">
        <x:v>granularite</x:v>
      </x:c>
      <x:c r="D281" s="11" t="str">
        <x:v>Un dossier par sinistre</x:v>
      </x:c>
      <x:c r="E281" s="11" t="str">
        <x:v>string</x:v>
      </x:c>
      <x:c r="F281" s="11" t="str"/>
      <x:c r="G281" s="11" t="str">
        <x:v>2026-08 / état au 2026-09-20</x:v>
      </x:c>
      <x:c r="H281" s="11" t="str">
        <x:v>SYNTHETIQUE</x:v>
      </x:c>
    </x:row>
    <x:row r="282" ht="28" customHeight="1">
      <x:c r="A282" s="10" t="str">
        <x:v>SRC-093-E1</x:v>
      </x:c>
      <x:c r="B282" s="10" t="str">
        <x:v>SRC-093</x:v>
      </x:c>
      <x:c r="C282" s="10" t="str">
        <x:v>table</x:v>
      </x:c>
      <x:c r="D282" s="10" t="str">
        <x:v>claim_event</x:v>
      </x:c>
      <x:c r="E282" s="10" t="str">
        <x:v>string</x:v>
      </x:c>
      <x:c r="F282" s="10" t="str"/>
      <x:c r="G282" s="10" t="str">
        <x:v>2026-08 / état au 2026-09-20</x:v>
      </x:c>
      <x:c r="H282" s="10" t="str">
        <x:v>SYNTHETIQUE</x:v>
      </x:c>
    </x:row>
    <x:row r="283" ht="28" customHeight="1">
      <x:c r="A283" s="11" t="str">
        <x:v>SRC-093-E2</x:v>
      </x:c>
      <x:c r="B283" s="11" t="str">
        <x:v>SRC-093</x:v>
      </x:c>
      <x:c r="C283" s="11" t="str">
        <x:v>champs</x:v>
      </x:c>
      <x:c r="D283" s="11" t="str">
        <x:v>case_id; activity; timestamp; role; outcome</x:v>
      </x:c>
      <x:c r="E283" s="11" t="str">
        <x:v>string</x:v>
      </x:c>
      <x:c r="F283" s="11" t="str"/>
      <x:c r="G283" s="11" t="str">
        <x:v>2026-08 / état au 2026-09-20</x:v>
      </x:c>
      <x:c r="H283" s="11" t="str">
        <x:v>SYNTHETIQUE</x:v>
      </x:c>
    </x:row>
    <x:row r="284" ht="28" customHeight="1">
      <x:c r="A284" s="10" t="str">
        <x:v>SRC-093-E3</x:v>
      </x:c>
      <x:c r="B284" s="10" t="str">
        <x:v>SRC-093</x:v>
      </x:c>
      <x:c r="C284" s="10" t="str">
        <x:v>identifiants</x:v>
      </x:c>
      <x:c r="D284" s="10" t="str">
        <x:v>Pseudonymes synthétiques</x:v>
      </x:c>
      <x:c r="E284" s="10" t="str">
        <x:v>string</x:v>
      </x:c>
      <x:c r="F284" s="10" t="str"/>
      <x:c r="G284" s="10" t="str">
        <x:v>2026-08 / état au 2026-09-20</x:v>
      </x:c>
      <x:c r="H284" s="10" t="str">
        <x:v>SYNTHETIQUE</x:v>
      </x:c>
    </x:row>
    <x:row r="285" ht="28" customHeight="1">
      <x:c r="A285" s="11" t="str">
        <x:v>SRC-094-E1</x:v>
      </x:c>
      <x:c r="B285" s="11" t="str">
        <x:v>SRC-094</x:v>
      </x:c>
      <x:c r="C285" s="11" t="str">
        <x:v>flux</x:v>
      </x:c>
      <x:c r="D285" s="11" t="str">
        <x:v>Sinistre vers reporting</x:v>
      </x:c>
      <x:c r="E285" s="11" t="str">
        <x:v>string</x:v>
      </x:c>
      <x:c r="F285" s="11" t="str"/>
      <x:c r="G285" s="11" t="str">
        <x:v>2026-08 / état au 2026-09-20</x:v>
      </x:c>
      <x:c r="H285" s="11" t="str">
        <x:v>SYNTHETIQUE</x:v>
      </x:c>
    </x:row>
    <x:row r="286" ht="28" customHeight="1">
      <x:c r="A286" s="10" t="str">
        <x:v>SRC-094-E2</x:v>
      </x:c>
      <x:c r="B286" s="10" t="str">
        <x:v>SRC-094</x:v>
      </x:c>
      <x:c r="C286" s="10" t="str">
        <x:v>transformation</x:v>
      </x:c>
      <x:c r="D286" s="10" t="str">
        <x:v>Agrégation quotidienne</x:v>
      </x:c>
      <x:c r="E286" s="10" t="str">
        <x:v>string</x:v>
      </x:c>
      <x:c r="F286" s="10" t="str"/>
      <x:c r="G286" s="10" t="str">
        <x:v>2026-08 / état au 2026-09-20</x:v>
      </x:c>
      <x:c r="H286" s="10" t="str">
        <x:v>SYNTHETIQUE</x:v>
      </x:c>
    </x:row>
    <x:row r="287" ht="28" customHeight="1">
      <x:c r="A287" s="11" t="str">
        <x:v>SRC-094-E3</x:v>
      </x:c>
      <x:c r="B287" s="11" t="str">
        <x:v>SRC-094</x:v>
      </x:c>
      <x:c r="C287" s="11" t="str">
        <x:v>frequence</x:v>
      </x:c>
      <x:c r="D287" s="11" t="str">
        <x:v>Quotidienne</x:v>
      </x:c>
      <x:c r="E287" s="11" t="str">
        <x:v>string</x:v>
      </x:c>
      <x:c r="F287" s="11" t="str"/>
      <x:c r="G287" s="11" t="str">
        <x:v>2026-08 / état au 2026-09-20</x:v>
      </x:c>
      <x:c r="H287" s="11" t="str">
        <x:v>SYNTHETIQUE</x:v>
      </x:c>
    </x:row>
    <x:row r="288" ht="28" customHeight="1">
      <x:c r="A288" s="10" t="str">
        <x:v>SRC-095-E1</x:v>
      </x:c>
      <x:c r="B288" s="10" t="str">
        <x:v>SRC-095</x:v>
      </x:c>
      <x:c r="C288" s="10" t="str">
        <x:v>dataset</x:v>
      </x:c>
      <x:c r="D288" s="10" t="str">
        <x:v>DS-SIN-01</x:v>
      </x:c>
      <x:c r="E288" s="10" t="str">
        <x:v>string</x:v>
      </x:c>
      <x:c r="F288" s="10" t="str"/>
      <x:c r="G288" s="10" t="str">
        <x:v>2026-08 / état au 2026-09-20</x:v>
      </x:c>
      <x:c r="H288" s="10" t="str">
        <x:v>SYNTHETIQUE</x:v>
      </x:c>
    </x:row>
    <x:row r="289" ht="28" customHeight="1">
      <x:c r="A289" s="11" t="str">
        <x:v>SRC-095-E2</x:v>
      </x:c>
      <x:c r="B289" s="11" t="str">
        <x:v>SRC-095</x:v>
      </x:c>
      <x:c r="C289" s="11" t="str">
        <x:v>dossiers</x:v>
      </x:c>
      <x:c r="D289" s="11" t="n">
        <x:v>3600</x:v>
      </x:c>
      <x:c r="E289" s="11" t="str">
        <x:v>number</x:v>
      </x:c>
      <x:c r="F289" s="11" t="str"/>
      <x:c r="G289" s="11" t="str">
        <x:v>2026-08 / état au 2026-09-20</x:v>
      </x:c>
      <x:c r="H289" s="11" t="str">
        <x:v>SYNTHETIQUE</x:v>
      </x:c>
    </x:row>
    <x:row r="290" ht="28" customHeight="1">
      <x:c r="A290" s="10" t="str">
        <x:v>SRC-095-E3</x:v>
      </x:c>
      <x:c r="B290" s="10" t="str">
        <x:v>SRC-095</x:v>
      </x:c>
      <x:c r="C290" s="10" t="str">
        <x:v>dossiers_sans_date_cloture_attendue</x:v>
      </x:c>
      <x:c r="D290" s="10" t="n">
        <x:v>540</x:v>
      </x:c>
      <x:c r="E290" s="10" t="str">
        <x:v>number</x:v>
      </x:c>
      <x:c r="F290" s="10" t="str"/>
      <x:c r="G290" s="10" t="str">
        <x:v>2026-08 / état au 2026-09-20</x:v>
      </x:c>
      <x:c r="H290" s="10" t="str">
        <x:v>SYNTHETIQUE</x:v>
      </x:c>
    </x:row>
    <x:row r="291" ht="28" customHeight="1">
      <x:c r="A291" s="11" t="str">
        <x:v>SRC-096-E1</x:v>
      </x:c>
      <x:c r="B291" s="11" t="str">
        <x:v>SRC-096</x:v>
      </x:c>
      <x:c r="C291" s="11" t="str">
        <x:v>corpus</x:v>
      </x:c>
      <x:c r="D291" s="11" t="str">
        <x:v>GED contrats habitation</x:v>
      </x:c>
      <x:c r="E291" s="11" t="str">
        <x:v>string</x:v>
      </x:c>
      <x:c r="F291" s="11" t="str"/>
      <x:c r="G291" s="11" t="str">
        <x:v>2026-08 / état au 2026-09-20</x:v>
      </x:c>
      <x:c r="H291" s="11" t="str">
        <x:v>SYNTHETIQUE</x:v>
      </x:c>
    </x:row>
    <x:row r="292" ht="28" customHeight="1">
      <x:c r="A292" s="10" t="str">
        <x:v>SRC-096-E2</x:v>
      </x:c>
      <x:c r="B292" s="10" t="str">
        <x:v>SRC-096</x:v>
      </x:c>
      <x:c r="C292" s="10" t="str">
        <x:v>acl</x:v>
      </x:c>
      <x:c r="D292" s="10" t="str">
        <x:v>Équipes contrats et sinistres habilitées</x:v>
      </x:c>
      <x:c r="E292" s="10" t="str">
        <x:v>string</x:v>
      </x:c>
      <x:c r="F292" s="10" t="str"/>
      <x:c r="G292" s="10" t="str">
        <x:v>2026-08 / état au 2026-09-20</x:v>
      </x:c>
      <x:c r="H292" s="10" t="str">
        <x:v>SYNTHETIQUE</x:v>
      </x:c>
    </x:row>
    <x:row r="293" ht="28" customHeight="1">
      <x:c r="A293" s="11" t="str">
        <x:v>SRC-096-E3</x:v>
      </x:c>
      <x:c r="B293" s="11" t="str">
        <x:v>SRC-096</x:v>
      </x:c>
      <x:c r="C293" s="11" t="str">
        <x:v>indexation</x:v>
      </x:c>
      <x:c r="D293" s="11" t="str">
        <x:v>Respect des droits documentaires</x:v>
      </x:c>
      <x:c r="E293" s="11" t="str">
        <x:v>string</x:v>
      </x:c>
      <x:c r="F293" s="11" t="str"/>
      <x:c r="G293" s="11" t="str">
        <x:v>2026-08 / état au 2026-09-20</x:v>
      </x:c>
      <x:c r="H293" s="11" t="str">
        <x:v>SYNTHETIQUE</x:v>
      </x:c>
    </x:row>
    <x:row r="294" ht="28" customHeight="1">
      <x:c r="A294" s="10" t="str">
        <x:v>SRC-097-E1</x:v>
      </x:c>
      <x:c r="B294" s="10" t="str">
        <x:v>SRC-097</x:v>
      </x:c>
      <x:c r="C294" s="10" t="str">
        <x:v>source</x:v>
      </x:c>
      <x:c r="D294" s="10" t="str">
        <x:v>Météo et géorisques fictifs</x:v>
      </x:c>
      <x:c r="E294" s="10" t="str">
        <x:v>string</x:v>
      </x:c>
      <x:c r="F294" s="10" t="str"/>
      <x:c r="G294" s="10" t="str">
        <x:v>2026-08 / état au 2026-09-20</x:v>
      </x:c>
      <x:c r="H294" s="10" t="str">
        <x:v>SYNTHETIQUE</x:v>
      </x:c>
    </x:row>
    <x:row r="295" ht="28" customHeight="1">
      <x:c r="A295" s="11" t="str">
        <x:v>SRC-097-E2</x:v>
      </x:c>
      <x:c r="B295" s="11" t="str">
        <x:v>SRC-097</x:v>
      </x:c>
      <x:c r="C295" s="11" t="str">
        <x:v>droit</x:v>
      </x:c>
      <x:c r="D295" s="11" t="str">
        <x:v>Usage interne autorisé dans la simulation</x:v>
      </x:c>
      <x:c r="E295" s="11" t="str">
        <x:v>string</x:v>
      </x:c>
      <x:c r="F295" s="11" t="str"/>
      <x:c r="G295" s="11" t="str">
        <x:v>2026-08 / état au 2026-09-20</x:v>
      </x:c>
      <x:c r="H295" s="11" t="str">
        <x:v>SYNTHETIQUE</x:v>
      </x:c>
    </x:row>
    <x:row r="296" ht="28" customHeight="1">
      <x:c r="A296" s="10" t="str">
        <x:v>SRC-097-E3</x:v>
      </x:c>
      <x:c r="B296" s="10" t="str">
        <x:v>SRC-097</x:v>
      </x:c>
      <x:c r="C296" s="10" t="str">
        <x:v>localisation</x:v>
      </x:c>
      <x:c r="D296" s="10" t="str">
        <x:v>Zone agrégée</x:v>
      </x:c>
      <x:c r="E296" s="10" t="str">
        <x:v>string</x:v>
      </x:c>
      <x:c r="F296" s="10" t="str"/>
      <x:c r="G296" s="10" t="str">
        <x:v>2026-08 / état au 2026-09-20</x:v>
      </x:c>
      <x:c r="H296" s="10" t="str">
        <x:v>SYNTHETIQUE</x:v>
      </x:c>
    </x:row>
    <x:row r="297" ht="28" customHeight="1">
      <x:c r="A297" s="11" t="str">
        <x:v>SRC-098-E1</x:v>
      </x:c>
      <x:c r="B297" s="11" t="str">
        <x:v>SRC-098</x:v>
      </x:c>
      <x:c r="C297" s="11" t="str">
        <x:v>perimetre</x:v>
      </x:c>
      <x:c r="D297" s="11" t="str">
        <x:v>16 systèmes et fonctions IA</x:v>
      </x:c>
      <x:c r="E297" s="11" t="str">
        <x:v>string</x:v>
      </x:c>
      <x:c r="F297" s="11" t="str"/>
      <x:c r="G297" s="11" t="str">
        <x:v>2026-08 / état au 2026-09-20</x:v>
      </x:c>
      <x:c r="H297" s="11" t="str">
        <x:v>SYNTHETIQUE</x:v>
      </x:c>
    </x:row>
    <x:row r="298" ht="28" customHeight="1">
      <x:c r="A298" s="10" t="str">
        <x:v>SRC-098-E2</x:v>
      </x:c>
      <x:c r="B298" s="10" t="str">
        <x:v>SRC-098</x:v>
      </x:c>
      <x:c r="C298" s="10" t="str">
        <x:v>statut</x:v>
      </x:c>
      <x:c r="D298" s="10" t="str">
        <x:v>Production; pilote; expérimental</x:v>
      </x:c>
      <x:c r="E298" s="10" t="str">
        <x:v>string</x:v>
      </x:c>
      <x:c r="F298" s="10" t="str"/>
      <x:c r="G298" s="10" t="str">
        <x:v>2026-08 / état au 2026-09-20</x:v>
      </x:c>
      <x:c r="H298" s="10" t="str">
        <x:v>SYNTHETIQUE</x:v>
      </x:c>
    </x:row>
    <x:row r="299" ht="28" customHeight="1">
      <x:c r="A299" s="11" t="str">
        <x:v>SRC-098-E3</x:v>
      </x:c>
      <x:c r="B299" s="11" t="str">
        <x:v>SRC-098</x:v>
      </x:c>
      <x:c r="C299" s="11" t="str">
        <x:v>source</x:v>
      </x:c>
      <x:c r="D299" s="11" t="str">
        <x:v>Registre fictif consolidé</x:v>
      </x:c>
      <x:c r="E299" s="11" t="str">
        <x:v>string</x:v>
      </x:c>
      <x:c r="F299" s="11" t="str"/>
      <x:c r="G299" s="11" t="str">
        <x:v>2026-08 / état au 2026-09-20</x:v>
      </x:c>
      <x:c r="H299" s="11" t="str">
        <x:v>SYNTHETIQUE</x:v>
      </x:c>
    </x:row>
    <x:row r="300" ht="28" customHeight="1">
      <x:c r="A300" s="10" t="str">
        <x:v>SRC-099-E1</x:v>
      </x:c>
      <x:c r="B300" s="10" t="str">
        <x:v>SRC-099</x:v>
      </x:c>
      <x:c r="C300" s="10" t="str">
        <x:v>fonction</x:v>
      </x:c>
      <x:c r="D300" s="10" t="str">
        <x:v>Résumé opportunité CRM AI-003</x:v>
      </x:c>
      <x:c r="E300" s="10" t="str">
        <x:v>string</x:v>
      </x:c>
      <x:c r="F300" s="10" t="str"/>
      <x:c r="G300" s="10" t="str">
        <x:v>2026-08 / état au 2026-09-20</x:v>
      </x:c>
      <x:c r="H300" s="10" t="str">
        <x:v>SYNTHETIQUE</x:v>
      </x:c>
    </x:row>
    <x:row r="301" ht="28" customHeight="1">
      <x:c r="A301" s="11" t="str">
        <x:v>SRC-099-E2</x:v>
      </x:c>
      <x:c r="B301" s="11" t="str">
        <x:v>SRC-099</x:v>
      </x:c>
      <x:c r="C301" s="11" t="str">
        <x:v>disponible</x:v>
      </x:c>
      <x:c r="D301" s="11" t="str">
        <x:v>Oui</x:v>
      </x:c>
      <x:c r="E301" s="11" t="str">
        <x:v>string</x:v>
      </x:c>
      <x:c r="F301" s="11" t="str"/>
      <x:c r="G301" s="11" t="str">
        <x:v>2026-08 / état au 2026-09-20</x:v>
      </x:c>
      <x:c r="H301" s="11" t="str">
        <x:v>SYNTHETIQUE</x:v>
      </x:c>
    </x:row>
    <x:row r="302" ht="28" customHeight="1">
      <x:c r="A302" s="10" t="str">
        <x:v>SRC-099-E3</x:v>
      </x:c>
      <x:c r="B302" s="10" t="str">
        <x:v>SRC-099</x:v>
      </x:c>
      <x:c r="C302" s="10" t="str">
        <x:v>activee</x:v>
      </x:c>
      <x:c r="D302" s="10" t="str">
        <x:v>Oui</x:v>
      </x:c>
      <x:c r="E302" s="10" t="str">
        <x:v>string</x:v>
      </x:c>
      <x:c r="F302" s="10" t="str"/>
      <x:c r="G302" s="10" t="str">
        <x:v>2026-08 / état au 2026-09-20</x:v>
      </x:c>
      <x:c r="H302" s="10" t="str">
        <x:v>SYNTHETIQUE</x:v>
      </x:c>
    </x:row>
    <x:row r="303" ht="28" customHeight="1">
      <x:c r="A303" s="11" t="str">
        <x:v>SRC-100-E1</x:v>
      </x:c>
      <x:c r="B303" s="11" t="str">
        <x:v>SRC-100</x:v>
      </x:c>
      <x:c r="C303" s="11" t="str">
        <x:v>ai_id</x:v>
      </x:c>
      <x:c r="D303" s="11" t="str">
        <x:v>AI-006</x:v>
      </x:c>
      <x:c r="E303" s="11" t="str">
        <x:v>string</x:v>
      </x:c>
      <x:c r="F303" s="11" t="str"/>
      <x:c r="G303" s="11" t="str">
        <x:v>2026-08 / état au 2026-09-20</x:v>
      </x:c>
      <x:c r="H303" s="11" t="str">
        <x:v>SYNTHETIQUE</x:v>
      </x:c>
    </x:row>
    <x:row r="304" ht="28" customHeight="1">
      <x:c r="A304" s="10" t="str">
        <x:v>SRC-100-E2</x:v>
      </x:c>
      <x:c r="B304" s="10" t="str">
        <x:v>SRC-100</x:v>
      </x:c>
      <x:c r="C304" s="10" t="str">
        <x:v>licences</x:v>
      </x:c>
      <x:c r="D304" s="10" t="n">
        <x:v>600</x:v>
      </x:c>
      <x:c r="E304" s="10" t="str">
        <x:v>number</x:v>
      </x:c>
      <x:c r="F304" s="10" t="str"/>
      <x:c r="G304" s="10" t="str">
        <x:v>2026-08 / état au 2026-09-20</x:v>
      </x:c>
      <x:c r="H304" s="10" t="str">
        <x:v>SYNTHETIQUE</x:v>
      </x:c>
    </x:row>
    <x:row r="305" ht="28" customHeight="1">
      <x:c r="A305" s="11" t="str">
        <x:v>SRC-100-E3</x:v>
      </x:c>
      <x:c r="B305" s="11" t="str">
        <x:v>SRC-100</x:v>
      </x:c>
      <x:c r="C305" s="11" t="str">
        <x:v>actifs_mensuels</x:v>
      </x:c>
      <x:c r="D305" s="11" t="n">
        <x:v>210</x:v>
      </x:c>
      <x:c r="E305" s="11" t="str">
        <x:v>number</x:v>
      </x:c>
      <x:c r="F305" s="11" t="str"/>
      <x:c r="G305" s="11" t="str">
        <x:v>2026-08 / état au 2026-09-20</x:v>
      </x:c>
      <x:c r="H305" s="11" t="str">
        <x:v>SYNTHETIQUE</x:v>
      </x:c>
    </x:row>
    <x:row r="306" ht="28" customHeight="1">
      <x:c r="A306" s="10" t="str">
        <x:v>SRC-101-E1</x:v>
      </x:c>
      <x:c r="B306" s="10" t="str">
        <x:v>SRC-101</x:v>
      </x:c>
      <x:c r="C306" s="10" t="str">
        <x:v>ai_id</x:v>
      </x:c>
      <x:c r="D306" s="10" t="str">
        <x:v>AI-002</x:v>
      </x:c>
      <x:c r="E306" s="10" t="str">
        <x:v>string</x:v>
      </x:c>
      <x:c r="F306" s="10" t="str"/>
      <x:c r="G306" s="10" t="str">
        <x:v>2026-08 / état au 2026-09-20</x:v>
      </x:c>
      <x:c r="H306" s="10" t="str">
        <x:v>SYNTHETIQUE</x:v>
      </x:c>
    </x:row>
    <x:row r="307" ht="28" customHeight="1">
      <x:c r="A307" s="11" t="str">
        <x:v>SRC-101-E2</x:v>
      </x:c>
      <x:c r="B307" s="11" t="str">
        <x:v>SRC-101</x:v>
      </x:c>
      <x:c r="C307" s="11" t="str">
        <x:v>action</x:v>
      </x:c>
      <x:c r="D307" s="11" t="str">
        <x:v>Exécuter paiement</x:v>
      </x:c>
      <x:c r="E307" s="11" t="str">
        <x:v>string</x:v>
      </x:c>
      <x:c r="F307" s="11" t="str"/>
      <x:c r="G307" s="11" t="str">
        <x:v>2026-08 / état au 2026-09-20</x:v>
      </x:c>
      <x:c r="H307" s="11" t="str">
        <x:v>SYNTHETIQUE</x:v>
      </x:c>
    </x:row>
    <x:row r="308" ht="28" customHeight="1">
      <x:c r="A308" s="10" t="str">
        <x:v>SRC-101-E3</x:v>
      </x:c>
      <x:c r="B308" s="10" t="str">
        <x:v>SRC-101</x:v>
      </x:c>
      <x:c r="C308" s="10" t="str">
        <x:v>arret_urgence</x:v>
      </x:c>
      <x:c r="D308" s="10" t="str">
        <x:v>Disponible mais validation préalable absente</x:v>
      </x:c>
      <x:c r="E308" s="10" t="str">
        <x:v>string</x:v>
      </x:c>
      <x:c r="F308" s="10" t="str"/>
      <x:c r="G308" s="10" t="str">
        <x:v>2026-08 / état au 2026-09-20</x:v>
      </x:c>
      <x:c r="H308" s="10" t="str">
        <x:v>SYNTHETIQUE</x:v>
      </x:c>
    </x:row>
    <x:row r="309" ht="28" customHeight="1">
      <x:c r="A309" s="11" t="str">
        <x:v>SRC-102-E1</x:v>
      </x:c>
      <x:c r="B309" s="11" t="str">
        <x:v>SRC-102</x:v>
      </x:c>
      <x:c r="C309" s="11" t="str">
        <x:v>assistant</x:v>
      </x:c>
      <x:c r="D309" s="11" t="str">
        <x:v>Copilote Sinistres AI-001</x:v>
      </x:c>
      <x:c r="E309" s="11" t="str">
        <x:v>string</x:v>
      </x:c>
      <x:c r="F309" s="11" t="str"/>
      <x:c r="G309" s="11" t="str">
        <x:v>2026-08 / état au 2026-09-20</x:v>
      </x:c>
      <x:c r="H309" s="11" t="str">
        <x:v>SYNTHETIQUE</x:v>
      </x:c>
    </x:row>
    <x:row r="310" ht="28" customHeight="1">
      <x:c r="A310" s="10" t="str">
        <x:v>SRC-102-E2</x:v>
      </x:c>
      <x:c r="B310" s="10" t="str">
        <x:v>SRC-102</x:v>
      </x:c>
      <x:c r="C310" s="10" t="str">
        <x:v>instruction</x:v>
      </x:c>
      <x:c r="D310" s="10" t="str">
        <x:v>Produire une synthèse avec référence à chaque pièce</x:v>
      </x:c>
      <x:c r="E310" s="10" t="str">
        <x:v>string</x:v>
      </x:c>
      <x:c r="F310" s="10" t="str"/>
      <x:c r="G310" s="10" t="str">
        <x:v>2026-08 / état au 2026-09-20</x:v>
      </x:c>
      <x:c r="H310" s="10" t="str">
        <x:v>SYNTHETIQUE</x:v>
      </x:c>
    </x:row>
    <x:row r="311" ht="28" customHeight="1">
      <x:c r="A311" s="11" t="str">
        <x:v>SRC-102-E3</x:v>
      </x:c>
      <x:c r="B311" s="11" t="str">
        <x:v>SRC-102</x:v>
      </x:c>
      <x:c r="C311" s="11" t="str">
        <x:v>version_prompt</x:v>
      </x:c>
      <x:c r="D311" s="11" t="n">
        <x:v>3.2</x:v>
      </x:c>
      <x:c r="E311" s="11" t="str">
        <x:v>number</x:v>
      </x:c>
      <x:c r="F311" s="11" t="str"/>
      <x:c r="G311" s="11" t="str">
        <x:v>2026-08 / état au 2026-09-20</x:v>
      </x:c>
      <x:c r="H311" s="11" t="str">
        <x:v>SYNTHETIQUE</x:v>
      </x:c>
    </x:row>
    <x:row r="312" ht="28" customHeight="1">
      <x:c r="A312" s="10" t="str">
        <x:v>SRC-103-E1</x:v>
      </x:c>
      <x:c r="B312" s="10" t="str">
        <x:v>SRC-103</x:v>
      </x:c>
      <x:c r="C312" s="10" t="str">
        <x:v>ai_id</x:v>
      </x:c>
      <x:c r="D312" s="10" t="str">
        <x:v>AI-002</x:v>
      </x:c>
      <x:c r="E312" s="10" t="str">
        <x:v>string</x:v>
      </x:c>
      <x:c r="F312" s="10" t="str"/>
      <x:c r="G312" s="10" t="str">
        <x:v>2026-08 / état au 2026-09-20</x:v>
      </x:c>
      <x:c r="H312" s="10" t="str">
        <x:v>SYNTHETIQUE</x:v>
      </x:c>
    </x:row>
    <x:row r="313" ht="28" customHeight="1">
      <x:c r="A313" s="11" t="str">
        <x:v>SRC-103-E2</x:v>
      </x:c>
      <x:c r="B313" s="11" t="str">
        <x:v>SRC-103</x:v>
      </x:c>
      <x:c r="C313" s="11" t="str">
        <x:v>paiements_test_sans_validation</x:v>
      </x:c>
      <x:c r="D313" s="11" t="n">
        <x:v>12</x:v>
      </x:c>
      <x:c r="E313" s="11" t="str">
        <x:v>number</x:v>
      </x:c>
      <x:c r="F313" s="11" t="str"/>
      <x:c r="G313" s="11" t="str">
        <x:v>2026-08 / état au 2026-09-20</x:v>
      </x:c>
      <x:c r="H313" s="11" t="str">
        <x:v>SYNTHETIQUE</x:v>
      </x:c>
    </x:row>
    <x:row r="314" ht="28" customHeight="1">
      <x:c r="A314" s="10" t="str">
        <x:v>SRC-103-E3</x:v>
      </x:c>
      <x:c r="B314" s="10" t="str">
        <x:v>SRC-103</x:v>
      </x:c>
      <x:c r="C314" s="10" t="str">
        <x:v>periode</x:v>
      </x:c>
      <x:c r="D314" s="10" t="str">
        <x:v>2026-08</x:v>
      </x:c>
      <x:c r="E314" s="10" t="str">
        <x:v>string</x:v>
      </x:c>
      <x:c r="F314" s="10" t="str"/>
      <x:c r="G314" s="10" t="str">
        <x:v>2026-08 / état au 2026-09-20</x:v>
      </x:c>
      <x:c r="H314" s="10" t="str">
        <x:v>SYNTHETIQUE</x:v>
      </x:c>
    </x:row>
    <x:row r="315" ht="28" customHeight="1">
      <x:c r="A315" s="11" t="str">
        <x:v>SRC-104-E1</x:v>
      </x:c>
      <x:c r="B315" s="11" t="str">
        <x:v>SRC-104</x:v>
      </x:c>
      <x:c r="C315" s="11" t="str">
        <x:v>ai_id</x:v>
      </x:c>
      <x:c r="D315" s="11" t="str">
        <x:v>AI-001</x:v>
      </x:c>
      <x:c r="E315" s="11" t="str">
        <x:v>string</x:v>
      </x:c>
      <x:c r="F315" s="11" t="str"/>
      <x:c r="G315" s="11" t="str">
        <x:v>2026-08 / état au 2026-09-20</x:v>
      </x:c>
      <x:c r="H315" s="11" t="str">
        <x:v>SYNTHETIQUE</x:v>
      </x:c>
    </x:row>
    <x:row r="316" ht="28" customHeight="1">
      <x:c r="A316" s="10" t="str">
        <x:v>SRC-104-E2</x:v>
      </x:c>
      <x:c r="B316" s="10" t="str">
        <x:v>SRC-104</x:v>
      </x:c>
      <x:c r="C316" s="10" t="str">
        <x:v>evaluations</x:v>
      </x:c>
      <x:c r="D316" s="10" t="n">
        <x:v>200</x:v>
      </x:c>
      <x:c r="E316" s="10" t="str">
        <x:v>number</x:v>
      </x:c>
      <x:c r="F316" s="10" t="str"/>
      <x:c r="G316" s="10" t="str">
        <x:v>2026-08 / état au 2026-09-20</x:v>
      </x:c>
      <x:c r="H316" s="10" t="str">
        <x:v>SYNTHETIQUE</x:v>
      </x:c>
    </x:row>
    <x:row r="317" ht="28" customHeight="1">
      <x:c r="A317" s="11" t="str">
        <x:v>SRC-104-E3</x:v>
      </x:c>
      <x:c r="B317" s="11" t="str">
        <x:v>SRC-104</x:v>
      </x:c>
      <x:c r="C317" s="11" t="str">
        <x:v>reponses_sans_citation_valide</x:v>
      </x:c>
      <x:c r="D317" s="11" t="n">
        <x:v>18</x:v>
      </x:c>
      <x:c r="E317" s="11" t="str">
        <x:v>number</x:v>
      </x:c>
      <x:c r="F317" s="11" t="str"/>
      <x:c r="G317" s="11" t="str">
        <x:v>2026-08 / état au 2026-09-20</x:v>
      </x:c>
      <x:c r="H317" s="11" t="str">
        <x:v>SYNTHETIQUE</x:v>
      </x:c>
    </x:row>
    <x:row r="318" ht="28" customHeight="1">
      <x:c r="A318" s="10" t="str">
        <x:v>SRC-105-E1</x:v>
      </x:c>
      <x:c r="B318" s="10" t="str">
        <x:v>SRC-105</x:v>
      </x:c>
      <x:c r="C318" s="10" t="str">
        <x:v>outil</x:v>
      </x:c>
      <x:c r="D318" s="10" t="str">
        <x:v>Assistant Web Externe AI-016</x:v>
      </x:c>
      <x:c r="E318" s="10" t="str">
        <x:v>string</x:v>
      </x:c>
      <x:c r="F318" s="10" t="str"/>
      <x:c r="G318" s="10" t="str">
        <x:v>2026-08 / état au 2026-09-20</x:v>
      </x:c>
      <x:c r="H318" s="10" t="str">
        <x:v>SYNTHETIQUE</x:v>
      </x:c>
    </x:row>
    <x:row r="319" ht="28" customHeight="1">
      <x:c r="A319" s="11" t="str">
        <x:v>SRC-105-E2</x:v>
      </x:c>
      <x:c r="B319" s="11" t="str">
        <x:v>SRC-105</x:v>
      </x:c>
      <x:c r="C319" s="11" t="str">
        <x:v>signal</x:v>
      </x:c>
      <x:c r="D319" s="11" t="str">
        <x:v>Déclaré en entretien</x:v>
      </x:c>
      <x:c r="E319" s="11" t="str">
        <x:v>string</x:v>
      </x:c>
      <x:c r="F319" s="11" t="str"/>
      <x:c r="G319" s="11" t="str">
        <x:v>2026-08 / état au 2026-09-20</x:v>
      </x:c>
      <x:c r="H319" s="11" t="str">
        <x:v>SYNTHETIQUE</x:v>
      </x:c>
    </x:row>
    <x:row r="320" ht="28" customHeight="1">
      <x:c r="A320" s="10" t="str">
        <x:v>SRC-105-E3</x:v>
      </x:c>
      <x:c r="B320" s="10" t="str">
        <x:v>SRC-105</x:v>
      </x:c>
      <x:c r="C320" s="10" t="str">
        <x:v>approbation</x:v>
      </x:c>
      <x:c r="D320" s="10" t="str">
        <x:v>Non confirmée</x:v>
      </x:c>
      <x:c r="E320" s="10" t="str">
        <x:v>string</x:v>
      </x:c>
      <x:c r="F320" s="10" t="str"/>
      <x:c r="G320" s="10" t="str">
        <x:v>2026-08 / état au 2026-09-20</x:v>
      </x:c>
      <x:c r="H320" s="10" t="str">
        <x:v>SYNTHETIQUE</x:v>
      </x:c>
    </x:row>
    <x:row r="321" ht="28" customHeight="1">
      <x:c r="A321" s="11" t="str">
        <x:v>SRC-106-E1</x:v>
      </x:c>
      <x:c r="B321" s="11" t="str">
        <x:v>SRC-106</x:v>
      </x:c>
      <x:c r="C321" s="11" t="str">
        <x:v>regle</x:v>
      </x:c>
      <x:c r="D321" s="11" t="str">
        <x:v>Toute action de paiement exige validation préalable</x:v>
      </x:c>
      <x:c r="E321" s="11" t="str">
        <x:v>string</x:v>
      </x:c>
      <x:c r="F321" s="11" t="str"/>
      <x:c r="G321" s="11" t="str">
        <x:v>2026-08 / état au 2026-09-20</x:v>
      </x:c>
      <x:c r="H321" s="11" t="str">
        <x:v>SYNTHETIQUE</x:v>
      </x:c>
    </x:row>
    <x:row r="322" ht="28" customHeight="1">
      <x:c r="A322" s="10" t="str">
        <x:v>SRC-106-E2</x:v>
      </x:c>
      <x:c r="B322" s="10" t="str">
        <x:v>SRC-106</x:v>
      </x:c>
      <x:c r="C322" s="10" t="str">
        <x:v>exceptions</x:v>
      </x:c>
      <x:c r="D322" s="10" t="str">
        <x:v>Dérogation écrite approuvée</x:v>
      </x:c>
      <x:c r="E322" s="10" t="str">
        <x:v>string</x:v>
      </x:c>
      <x:c r="F322" s="10" t="str"/>
      <x:c r="G322" s="10" t="str">
        <x:v>2026-08 / état au 2026-09-20</x:v>
      </x:c>
      <x:c r="H322" s="10" t="str">
        <x:v>SYNTHETIQUE</x:v>
      </x:c>
    </x:row>
    <x:row r="323" ht="28" customHeight="1">
      <x:c r="A323" s="11" t="str">
        <x:v>SRC-106-E3</x:v>
      </x:c>
      <x:c r="B323" s="11" t="str">
        <x:v>SRC-106</x:v>
      </x:c>
      <x:c r="C323" s="11" t="str">
        <x:v>agent_AI_002</x:v>
      </x:c>
      <x:c r="D323" s="11" t="str">
        <x:v>Pas de dérogation</x:v>
      </x:c>
      <x:c r="E323" s="11" t="str">
        <x:v>string</x:v>
      </x:c>
      <x:c r="F323" s="11" t="str"/>
      <x:c r="G323" s="11" t="str">
        <x:v>2026-08 / état au 2026-09-20</x:v>
      </x:c>
      <x:c r="H323" s="11" t="str">
        <x:v>SYNTHETIQUE</x:v>
      </x:c>
    </x:row>
    <x:row r="324" ht="28" customHeight="1">
      <x:c r="A324" s="10" t="str">
        <x:v>SRC-107-E1</x:v>
      </x:c>
      <x:c r="B324" s="10" t="str">
        <x:v>SRC-107</x:v>
      </x:c>
      <x:c r="C324" s="10" t="str">
        <x:v>traitement</x:v>
      </x:c>
      <x:c r="D324" s="10" t="str">
        <x:v>Analyse de processus sinistres</x:v>
      </x:c>
      <x:c r="E324" s="10" t="str">
        <x:v>string</x:v>
      </x:c>
      <x:c r="F324" s="10" t="str"/>
      <x:c r="G324" s="10" t="str">
        <x:v>2026-08 / état au 2026-09-20</x:v>
      </x:c>
      <x:c r="H324" s="10" t="str">
        <x:v>SYNTHETIQUE</x:v>
      </x:c>
    </x:row>
    <x:row r="325" ht="28" customHeight="1">
      <x:c r="A325" s="11" t="str">
        <x:v>SRC-107-E2</x:v>
      </x:c>
      <x:c r="B325" s="11" t="str">
        <x:v>SRC-107</x:v>
      </x:c>
      <x:c r="C325" s="11" t="str">
        <x:v>base</x:v>
      </x:c>
      <x:c r="D325" s="11" t="str">
        <x:v>À qualifier dans un déploiement réel</x:v>
      </x:c>
      <x:c r="E325" s="11" t="str">
        <x:v>string</x:v>
      </x:c>
      <x:c r="F325" s="11" t="str"/>
      <x:c r="G325" s="11" t="str">
        <x:v>2026-08 / état au 2026-09-20</x:v>
      </x:c>
      <x:c r="H325" s="11" t="str">
        <x:v>SYNTHETIQUE</x:v>
      </x:c>
    </x:row>
    <x:row r="326" ht="28" customHeight="1">
      <x:c r="A326" s="10" t="str">
        <x:v>SRC-107-E3</x:v>
      </x:c>
      <x:c r="B326" s="10" t="str">
        <x:v>SRC-107</x:v>
      </x:c>
      <x:c r="C326" s="10" t="str">
        <x:v>donnees_demo</x:v>
      </x:c>
      <x:c r="D326" s="10" t="str">
        <x:v>Entièrement synthétiques</x:v>
      </x:c>
      <x:c r="E326" s="10" t="str">
        <x:v>string</x:v>
      </x:c>
      <x:c r="F326" s="10" t="str"/>
      <x:c r="G326" s="10" t="str">
        <x:v>2026-08 / état au 2026-09-20</x:v>
      </x:c>
      <x:c r="H326" s="10" t="str">
        <x:v>SYNTHETIQUE</x:v>
      </x:c>
    </x:row>
    <x:row r="327" ht="28" customHeight="1">
      <x:c r="A327" s="11" t="str">
        <x:v>SRC-108-E1</x:v>
      </x:c>
      <x:c r="B327" s="11" t="str">
        <x:v>SRC-108</x:v>
      </x:c>
      <x:c r="C327" s="11" t="str">
        <x:v>usage</x:v>
      </x:c>
      <x:c r="D327" s="11" t="str">
        <x:v>Conseil épargne AI-008</x:v>
      </x:c>
      <x:c r="E327" s="11" t="str">
        <x:v>string</x:v>
      </x:c>
      <x:c r="F327" s="11" t="str"/>
      <x:c r="G327" s="11" t="str">
        <x:v>2026-08 / état au 2026-09-20</x:v>
      </x:c>
      <x:c r="H327" s="11" t="str">
        <x:v>SYNTHETIQUE</x:v>
      </x:c>
    </x:row>
    <x:row r="328" ht="28" customHeight="1">
      <x:c r="A328" s="10" t="str">
        <x:v>SRC-108-E2</x:v>
      </x:c>
      <x:c r="B328" s="10" t="str">
        <x:v>SRC-108</x:v>
      </x:c>
      <x:c r="C328" s="10" t="str">
        <x:v>qualification</x:v>
      </x:c>
      <x:c r="D328" s="10" t="str">
        <x:v>Revue juridique en attente dans le scénario</x:v>
      </x:c>
      <x:c r="E328" s="10" t="str">
        <x:v>string</x:v>
      </x:c>
      <x:c r="F328" s="10" t="str"/>
      <x:c r="G328" s="10" t="str">
        <x:v>2026-08 / état au 2026-09-20</x:v>
      </x:c>
      <x:c r="H328" s="10" t="str">
        <x:v>SYNTHETIQUE</x:v>
      </x:c>
    </x:row>
    <x:row r="329" ht="28" customHeight="1">
      <x:c r="A329" s="11" t="str">
        <x:v>SRC-108-E3</x:v>
      </x:c>
      <x:c r="B329" s="11" t="str">
        <x:v>SRC-108</x:v>
      </x:c>
      <x:c r="C329" s="11" t="str">
        <x:v>statut</x:v>
      </x:c>
      <x:c r="D329" s="11" t="str">
        <x:v>Ne pas considérer comme conforme par défaut</x:v>
      </x:c>
      <x:c r="E329" s="11" t="str">
        <x:v>string</x:v>
      </x:c>
      <x:c r="F329" s="11" t="str"/>
      <x:c r="G329" s="11" t="str">
        <x:v>2026-08 / état au 2026-09-20</x:v>
      </x:c>
      <x:c r="H329" s="11" t="str">
        <x:v>SYNTHETIQUE</x:v>
      </x:c>
    </x:row>
    <x:row r="330" ht="28" customHeight="1">
      <x:c r="A330" s="10" t="str">
        <x:v>SRC-109-E1</x:v>
      </x:c>
      <x:c r="B330" s="10" t="str">
        <x:v>SRC-109</x:v>
      </x:c>
      <x:c r="C330" s="10" t="str">
        <x:v>risque</x:v>
      </x:c>
      <x:c r="D330" s="10" t="str">
        <x:v>Paiement sans validation</x:v>
      </x:c>
      <x:c r="E330" s="10" t="str">
        <x:v>string</x:v>
      </x:c>
      <x:c r="F330" s="10" t="str"/>
      <x:c r="G330" s="10" t="str">
        <x:v>2026-08 / état au 2026-09-20</x:v>
      </x:c>
      <x:c r="H330" s="10" t="str">
        <x:v>SYNTHETIQUE</x:v>
      </x:c>
    </x:row>
    <x:row r="331" ht="28" customHeight="1">
      <x:c r="A331" s="11" t="str">
        <x:v>SRC-109-E2</x:v>
      </x:c>
      <x:c r="B331" s="11" t="str">
        <x:v>SRC-109</x:v>
      </x:c>
      <x:c r="C331" s="11" t="str">
        <x:v>controle</x:v>
      </x:c>
      <x:c r="D331" s="11" t="str">
        <x:v>Vérification approbation avant exécution</x:v>
      </x:c>
      <x:c r="E331" s="11" t="str">
        <x:v>string</x:v>
      </x:c>
      <x:c r="F331" s="11" t="str"/>
      <x:c r="G331" s="11" t="str">
        <x:v>2026-08 / état au 2026-09-20</x:v>
      </x:c>
      <x:c r="H331" s="11" t="str">
        <x:v>SYNTHETIQUE</x:v>
      </x:c>
    </x:row>
    <x:row r="332" ht="28" customHeight="1">
      <x:c r="A332" s="10" t="str">
        <x:v>SRC-109-E3</x:v>
      </x:c>
      <x:c r="B332" s="10" t="str">
        <x:v>SRC-109</x:v>
      </x:c>
      <x:c r="C332" s="10" t="str">
        <x:v>resultat_AI_002</x:v>
      </x:c>
      <x:c r="D332" s="10" t="str">
        <x:v>Contrôle absent</x:v>
      </x:c>
      <x:c r="E332" s="10" t="str">
        <x:v>string</x:v>
      </x:c>
      <x:c r="F332" s="10" t="str"/>
      <x:c r="G332" s="10" t="str">
        <x:v>2026-08 / état au 2026-09-20</x:v>
      </x:c>
      <x:c r="H332" s="10" t="str">
        <x:v>SYNTHETIQUE</x:v>
      </x:c>
    </x:row>
    <x:row r="333" ht="28" customHeight="1">
      <x:c r="A333" s="11" t="str">
        <x:v>SRC-110-E1</x:v>
      </x:c>
      <x:c r="B333" s="11" t="str">
        <x:v>SRC-110</x:v>
      </x:c>
      <x:c r="C333" s="11" t="str">
        <x:v>fournisseur</x:v>
      </x:c>
      <x:c r="D333" s="11" t="str">
        <x:v>Assistant Web Externe AI-016</x:v>
      </x:c>
      <x:c r="E333" s="11" t="str">
        <x:v>string</x:v>
      </x:c>
      <x:c r="F333" s="11" t="str"/>
      <x:c r="G333" s="11" t="str">
        <x:v>2026-08 / état au 2026-09-20</x:v>
      </x:c>
      <x:c r="H333" s="11" t="str">
        <x:v>SYNTHETIQUE</x:v>
      </x:c>
    </x:row>
    <x:row r="334" ht="28" customHeight="1">
      <x:c r="A334" s="10" t="str">
        <x:v>SRC-110-E2</x:v>
      </x:c>
      <x:c r="B334" s="10" t="str">
        <x:v>SRC-110</x:v>
      </x:c>
      <x:c r="C334" s="10" t="str">
        <x:v>contrat</x:v>
      </x:c>
      <x:c r="D334" s="10" t="str">
        <x:v>Non retrouvé dans le scénario</x:v>
      </x:c>
      <x:c r="E334" s="10" t="str">
        <x:v>string</x:v>
      </x:c>
      <x:c r="F334" s="10" t="str"/>
      <x:c r="G334" s="10" t="str">
        <x:v>2026-08 / état au 2026-09-20</x:v>
      </x:c>
      <x:c r="H334" s="10" t="str">
        <x:v>SYNTHETIQUE</x:v>
      </x:c>
    </x:row>
    <x:row r="335" ht="28" customHeight="1">
      <x:c r="A335" s="11" t="str">
        <x:v>SRC-110-E3</x:v>
      </x:c>
      <x:c r="B335" s="11" t="str">
        <x:v>SRC-110</x:v>
      </x:c>
      <x:c r="C335" s="11" t="str">
        <x:v>modele</x:v>
      </x:c>
      <x:c r="D335" s="11" t="str">
        <x:v>Non communiqué</x:v>
      </x:c>
      <x:c r="E335" s="11" t="str">
        <x:v>string</x:v>
      </x:c>
      <x:c r="F335" s="11" t="str"/>
      <x:c r="G335" s="11" t="str">
        <x:v>2026-08 / état au 2026-09-20</x:v>
      </x:c>
      <x:c r="H335" s="11" t="str">
        <x:v>SYNTHETIQUE</x:v>
      </x:c>
    </x:row>
    <x:row r="336" ht="28" customHeight="1">
      <x:c r="A336" s="10" t="str">
        <x:v>SRC-111-E1</x:v>
      </x:c>
      <x:c r="B336" s="10" t="str">
        <x:v>SRC-111</x:v>
      </x:c>
      <x:c r="C336" s="10" t="str">
        <x:v>audit</x:v>
      </x:c>
      <x:c r="D336" s="10" t="str">
        <x:v>Revue agent AI-002</x:v>
      </x:c>
      <x:c r="E336" s="10" t="str">
        <x:v>string</x:v>
      </x:c>
      <x:c r="F336" s="10" t="str"/>
      <x:c r="G336" s="10" t="str">
        <x:v>2026-08 / état au 2026-09-20</x:v>
      </x:c>
      <x:c r="H336" s="10" t="str">
        <x:v>SYNTHETIQUE</x:v>
      </x:c>
    </x:row>
    <x:row r="337" ht="28" customHeight="1">
      <x:c r="A337" s="11" t="str">
        <x:v>SRC-111-E2</x:v>
      </x:c>
      <x:c r="B337" s="11" t="str">
        <x:v>SRC-111</x:v>
      </x:c>
      <x:c r="C337" s="11" t="str">
        <x:v>constat</x:v>
      </x:c>
      <x:c r="D337" s="11" t="str">
        <x:v>Scope de paiement excessif</x:v>
      </x:c>
      <x:c r="E337" s="11" t="str">
        <x:v>string</x:v>
      </x:c>
      <x:c r="F337" s="11" t="str"/>
      <x:c r="G337" s="11" t="str">
        <x:v>2026-08 / état au 2026-09-20</x:v>
      </x:c>
      <x:c r="H337" s="11" t="str">
        <x:v>SYNTHETIQUE</x:v>
      </x:c>
    </x:row>
    <x:row r="338" ht="28" customHeight="1">
      <x:c r="A338" s="10" t="str">
        <x:v>SRC-111-E3</x:v>
      </x:c>
      <x:c r="B338" s="10" t="str">
        <x:v>SRC-111</x:v>
      </x:c>
      <x:c r="C338" s="10" t="str">
        <x:v>action</x:v>
      </x:c>
      <x:c r="D338" s="10" t="str">
        <x:v>Retirer exécution et rétablir validation</x:v>
      </x:c>
      <x:c r="E338" s="10" t="str">
        <x:v>string</x:v>
      </x:c>
      <x:c r="F338" s="10" t="str"/>
      <x:c r="G338" s="10" t="str">
        <x:v>2026-08 / état au 2026-09-20</x:v>
      </x:c>
      <x:c r="H338" s="10" t="str">
        <x:v>SYNTHETIQUE</x:v>
      </x:c>
    </x:row>
    <x:row r="339" ht="28" customHeight="1">
      <x:c r="A339" s="11" t="str">
        <x:v>SRC-112-E1</x:v>
      </x:c>
      <x:c r="B339" s="11" t="str">
        <x:v>SRC-112</x:v>
      </x:c>
      <x:c r="C339" s="11" t="str">
        <x:v>role</x:v>
      </x:c>
      <x:c r="D339" s="11" t="str">
        <x:v>Gestionnaire sinistres</x:v>
      </x:c>
      <x:c r="E339" s="11" t="str">
        <x:v>string</x:v>
      </x:c>
      <x:c r="F339" s="11" t="str"/>
      <x:c r="G339" s="11" t="str">
        <x:v>2026-08 / état au 2026-09-20</x:v>
      </x:c>
      <x:c r="H339" s="11" t="str">
        <x:v>SYNTHETIQUE</x:v>
      </x:c>
    </x:row>
    <x:row r="340" ht="28" customHeight="1">
      <x:c r="A340" s="10" t="str">
        <x:v>SRC-112-E2</x:v>
      </x:c>
      <x:c r="B340" s="10" t="str">
        <x:v>SRC-112</x:v>
      </x:c>
      <x:c r="C340" s="10" t="str">
        <x:v>irritant</x:v>
      </x:c>
      <x:c r="D340" s="10" t="str">
        <x:v>Recopier les informations entre GED et gestion</x:v>
      </x:c>
      <x:c r="E340" s="10" t="str">
        <x:v>string</x:v>
      </x:c>
      <x:c r="F340" s="10" t="str"/>
      <x:c r="G340" s="10" t="str">
        <x:v>2026-08 / état au 2026-09-20</x:v>
      </x:c>
      <x:c r="H340" s="10" t="str">
        <x:v>SYNTHETIQUE</x:v>
      </x:c>
    </x:row>
    <x:row r="341" ht="28" customHeight="1">
      <x:c r="A341" s="11" t="str">
        <x:v>SRC-112-E3</x:v>
      </x:c>
      <x:c r="B341" s="11" t="str">
        <x:v>SRC-112</x:v>
      </x:c>
      <x:c r="C341" s="11" t="str">
        <x:v>frequence</x:v>
      </x:c>
      <x:c r="D341" s="11" t="str">
        <x:v>Quotidienne</x:v>
      </x:c>
      <x:c r="E341" s="11" t="str">
        <x:v>string</x:v>
      </x:c>
      <x:c r="F341" s="11" t="str"/>
      <x:c r="G341" s="11" t="str">
        <x:v>2026-08 / état au 2026-09-20</x:v>
      </x:c>
      <x:c r="H341" s="11" t="str">
        <x:v>SYNTHETIQUE</x:v>
      </x:c>
    </x:row>
    <x:row r="342" ht="28" customHeight="1">
      <x:c r="A342" s="10" t="str">
        <x:v>SRC-113-E1</x:v>
      </x:c>
      <x:c r="B342" s="10" t="str">
        <x:v>SRC-113</x:v>
      </x:c>
      <x:c r="C342" s="10" t="str">
        <x:v>activite</x:v>
      </x:c>
      <x:c r="D342" s="10" t="str">
        <x:v>Pré-instruire un sinistre</x:v>
      </x:c>
      <x:c r="E342" s="10" t="str">
        <x:v>string</x:v>
      </x:c>
      <x:c r="F342" s="10" t="str"/>
      <x:c r="G342" s="10" t="str">
        <x:v>2026-08 / état au 2026-09-20</x:v>
      </x:c>
      <x:c r="H342" s="10" t="str">
        <x:v>SYNTHETIQUE</x:v>
      </x:c>
    </x:row>
    <x:row r="343" ht="28" customHeight="1">
      <x:c r="A343" s="11" t="str">
        <x:v>SRC-113-E2</x:v>
      </x:c>
      <x:c r="B343" s="11" t="str">
        <x:v>SRC-113</x:v>
      </x:c>
      <x:c r="C343" s="11" t="str">
        <x:v>temps_avant_minutes</x:v>
      </x:c>
      <x:c r="D343" s="11" t="n">
        <x:v>18</x:v>
      </x:c>
      <x:c r="E343" s="11" t="str">
        <x:v>number</x:v>
      </x:c>
      <x:c r="F343" s="11" t="str">
        <x:v>minutes</x:v>
      </x:c>
      <x:c r="G343" s="11" t="str">
        <x:v>2026-08 / état au 2026-09-20</x:v>
      </x:c>
      <x:c r="H343" s="11" t="str">
        <x:v>SYNTHETIQUE</x:v>
      </x:c>
    </x:row>
    <x:row r="344" ht="28" customHeight="1">
      <x:c r="A344" s="10" t="str">
        <x:v>SRC-113-E3</x:v>
      </x:c>
      <x:c r="B344" s="10" t="str">
        <x:v>SRC-113</x:v>
      </x:c>
      <x:c r="C344" s="10" t="str">
        <x:v>temps_avec_assistant_minutes</x:v>
      </x:c>
      <x:c r="D344" s="10" t="n">
        <x:v>12</x:v>
      </x:c>
      <x:c r="E344" s="10" t="str">
        <x:v>number</x:v>
      </x:c>
      <x:c r="F344" s="10" t="str">
        <x:v>minutes</x:v>
      </x:c>
      <x:c r="G344" s="10" t="str">
        <x:v>2026-08 / état au 2026-09-20</x:v>
      </x:c>
      <x:c r="H344" s="10" t="str">
        <x:v>SYNTHETIQUE</x:v>
      </x:c>
    </x:row>
    <x:row r="345" ht="28" customHeight="1">
      <x:c r="A345" s="11" t="str">
        <x:v>SRC-114-E1</x:v>
      </x:c>
      <x:c r="B345" s="11" t="str">
        <x:v>SRC-114</x:v>
      </x:c>
      <x:c r="C345" s="11" t="str">
        <x:v>fichier</x:v>
      </x:c>
      <x:c r="D345" s="11" t="str">
        <x:v>Suivi_sinistres_equipe.xlsx</x:v>
      </x:c>
      <x:c r="E345" s="11" t="str">
        <x:v>string</x:v>
      </x:c>
      <x:c r="F345" s="11" t="str"/>
      <x:c r="G345" s="11" t="str">
        <x:v>2026-08 / état au 2026-09-20</x:v>
      </x:c>
      <x:c r="H345" s="11" t="str">
        <x:v>SYNTHETIQUE</x:v>
      </x:c>
    </x:row>
    <x:row r="346" ht="28" customHeight="1">
      <x:c r="A346" s="10" t="str">
        <x:v>SRC-114-E2</x:v>
      </x:c>
      <x:c r="B346" s="10" t="str">
        <x:v>SRC-114</x:v>
      </x:c>
      <x:c r="C346" s="10" t="str">
        <x:v>fonction</x:v>
      </x:c>
      <x:c r="D346" s="10" t="str">
        <x:v>Suivi manuel des pièces manquantes</x:v>
      </x:c>
      <x:c r="E346" s="10" t="str">
        <x:v>string</x:v>
      </x:c>
      <x:c r="F346" s="10" t="str"/>
      <x:c r="G346" s="10" t="str">
        <x:v>2026-08 / état au 2026-09-20</x:v>
      </x:c>
      <x:c r="H346" s="10" t="str">
        <x:v>SYNTHETIQUE</x:v>
      </x:c>
    </x:row>
    <x:row r="347" ht="28" customHeight="1">
      <x:c r="A347" s="11" t="str">
        <x:v>SRC-114-E3</x:v>
      </x:c>
      <x:c r="B347" s="11" t="str">
        <x:v>SRC-114</x:v>
      </x:c>
      <x:c r="C347" s="11" t="str">
        <x:v>dependance</x:v>
      </x:c>
      <x:c r="D347" s="11" t="str">
        <x:v>Export quotidien du système de gestion</x:v>
      </x:c>
      <x:c r="E347" s="11" t="str">
        <x:v>string</x:v>
      </x:c>
      <x:c r="F347" s="11" t="str"/>
      <x:c r="G347" s="11" t="str">
        <x:v>2026-08 / état au 2026-09-20</x:v>
      </x:c>
      <x:c r="H347" s="11" t="str">
        <x:v>SYNTHETIQUE</x:v>
      </x:c>
    </x:row>
    <x:row r="348" ht="28" customHeight="1">
      <x:c r="A348" s="10" t="str">
        <x:v>SRC-115-E1</x:v>
      </x:c>
      <x:c r="B348" s="10" t="str">
        <x:v>SRC-115</x:v>
      </x:c>
      <x:c r="C348" s="10" t="str">
        <x:v>guide</x:v>
      </x:c>
      <x:c r="D348" s="10" t="str">
        <x:v>Cas atypiques dégâts des eaux</x:v>
      </x:c>
      <x:c r="E348" s="10" t="str">
        <x:v>string</x:v>
      </x:c>
      <x:c r="F348" s="10" t="str"/>
      <x:c r="G348" s="10" t="str">
        <x:v>2026-08 / état au 2026-09-20</x:v>
      </x:c>
      <x:c r="H348" s="10" t="str">
        <x:v>SYNTHETIQUE</x:v>
      </x:c>
    </x:row>
    <x:row r="349" ht="28" customHeight="1">
      <x:c r="A349" s="11" t="str">
        <x:v>SRC-115-E2</x:v>
      </x:c>
      <x:c r="B349" s="11" t="str">
        <x:v>SRC-115</x:v>
      </x:c>
      <x:c r="C349" s="11" t="str">
        <x:v>regle_tacite</x:v>
      </x:c>
      <x:c r="D349" s="11" t="str">
        <x:v>Escalader les incohérences entre dates et pièces</x:v>
      </x:c>
      <x:c r="E349" s="11" t="str">
        <x:v>string</x:v>
      </x:c>
      <x:c r="F349" s="11" t="str"/>
      <x:c r="G349" s="11" t="str">
        <x:v>2026-08 / état au 2026-09-20</x:v>
      </x:c>
      <x:c r="H349" s="11" t="str">
        <x:v>SYNTHETIQUE</x:v>
      </x:c>
    </x:row>
    <x:row r="350" ht="28" customHeight="1">
      <x:c r="A350" s="10" t="str">
        <x:v>SRC-115-E3</x:v>
      </x:c>
      <x:c r="B350" s="10" t="str">
        <x:v>SRC-115</x:v>
      </x:c>
      <x:c r="C350" s="10" t="str">
        <x:v>detenteur</x:v>
      </x:c>
      <x:c r="D350" s="10" t="str">
        <x:v>Expert indemnisation</x:v>
      </x:c>
      <x:c r="E350" s="10" t="str">
        <x:v>string</x:v>
      </x:c>
      <x:c r="F350" s="10" t="str"/>
      <x:c r="G350" s="10" t="str">
        <x:v>2026-08 / état au 2026-09-20</x:v>
      </x:c>
      <x:c r="H350" s="10" t="str">
        <x:v>SYNTHETIQUE</x:v>
      </x:c>
    </x:row>
    <x:row r="351" ht="28" customHeight="1">
      <x:c r="A351" s="11" t="str">
        <x:v>SRC-116-E1</x:v>
      </x:c>
      <x:c r="B351" s="11" t="str">
        <x:v>SRC-116</x:v>
      </x:c>
      <x:c r="C351" s="11" t="str">
        <x:v>fil</x:v>
      </x:c>
      <x:c r="D351" s="11" t="str">
        <x:v>Arbitrage sinistre fictif</x:v>
      </x:c>
      <x:c r="E351" s="11" t="str">
        <x:v>string</x:v>
      </x:c>
      <x:c r="F351" s="11" t="str"/>
      <x:c r="G351" s="11" t="str">
        <x:v>2026-08 / état au 2026-09-20</x:v>
      </x:c>
      <x:c r="H351" s="11" t="str">
        <x:v>SYNTHETIQUE</x:v>
      </x:c>
    </x:row>
    <x:row r="352" ht="28" customHeight="1">
      <x:c r="A352" s="10" t="str">
        <x:v>SRC-116-E2</x:v>
      </x:c>
      <x:c r="B352" s="10" t="str">
        <x:v>SRC-116</x:v>
      </x:c>
      <x:c r="C352" s="10" t="str">
        <x:v>question</x:v>
      </x:c>
      <x:c r="D352" s="10" t="str">
        <x:v>Peut-on payer sans facture finale ?</x:v>
      </x:c>
      <x:c r="E352" s="10" t="str">
        <x:v>string</x:v>
      </x:c>
      <x:c r="F352" s="10" t="str"/>
      <x:c r="G352" s="10" t="str">
        <x:v>2026-08 / état au 2026-09-20</x:v>
      </x:c>
      <x:c r="H352" s="10" t="str">
        <x:v>SYNTHETIQUE</x:v>
      </x:c>
    </x:row>
    <x:row r="353" ht="28" customHeight="1">
      <x:c r="A353" s="11" t="str">
        <x:v>SRC-116-E3</x:v>
      </x:c>
      <x:c r="B353" s="11" t="str">
        <x:v>SRC-116</x:v>
      </x:c>
      <x:c r="C353" s="11" t="str">
        <x:v>decision</x:v>
      </x:c>
      <x:c r="D353" s="11" t="str">
        <x:v>Validation du responsable requise</x:v>
      </x:c>
      <x:c r="E353" s="11" t="str">
        <x:v>string</x:v>
      </x:c>
      <x:c r="F353" s="11" t="str"/>
      <x:c r="G353" s="11" t="str">
        <x:v>2026-08 / état au 2026-09-20</x:v>
      </x:c>
      <x:c r="H353" s="11" t="str">
        <x:v>SYNTHETIQUE</x:v>
      </x:c>
    </x:row>
    <x:row r="354" ht="28" customHeight="1">
      <x:c r="A354" s="10" t="str">
        <x:v>SRC-117-E1</x:v>
      </x:c>
      <x:c r="B354" s="10" t="str">
        <x:v>SRC-117</x:v>
      </x:c>
      <x:c r="C354" s="10" t="str">
        <x:v>atelier</x:v>
      </x:c>
      <x:c r="D354" s="10" t="str">
        <x:v>Revue du pilote sinistres</x:v>
      </x:c>
      <x:c r="E354" s="10" t="str">
        <x:v>string</x:v>
      </x:c>
      <x:c r="F354" s="10" t="str"/>
      <x:c r="G354" s="10" t="str">
        <x:v>2026-08 / état au 2026-09-20</x:v>
      </x:c>
      <x:c r="H354" s="10" t="str">
        <x:v>SYNTHETIQUE</x:v>
      </x:c>
    </x:row>
    <x:row r="355" ht="28" customHeight="1">
      <x:c r="A355" s="11" t="str">
        <x:v>SRC-117-E2</x:v>
      </x:c>
      <x:c r="B355" s="11" t="str">
        <x:v>SRC-117</x:v>
      </x:c>
      <x:c r="C355" s="11" t="str">
        <x:v>action</x:v>
      </x:c>
      <x:c r="D355" s="11" t="str">
        <x:v>Réinvestir le temps libéré dans le traitement des exceptions</x:v>
      </x:c>
      <x:c r="E355" s="11" t="str">
        <x:v>string</x:v>
      </x:c>
      <x:c r="F355" s="11" t="str"/>
      <x:c r="G355" s="11" t="str">
        <x:v>2026-08 / état au 2026-09-20</x:v>
      </x:c>
      <x:c r="H355" s="11" t="str">
        <x:v>SYNTHETIQUE</x:v>
      </x:c>
    </x:row>
    <x:row r="356" ht="28" customHeight="1">
      <x:c r="A356" s="10" t="str">
        <x:v>SRC-117-E3</x:v>
      </x:c>
      <x:c r="B356" s="10" t="str">
        <x:v>SRC-117</x:v>
      </x:c>
      <x:c r="C356" s="10" t="str">
        <x:v>responsable</x:v>
      </x:c>
      <x:c r="D356" s="10" t="str">
        <x:v>Manager sinistres</x:v>
      </x:c>
      <x:c r="E356" s="10" t="str">
        <x:v>string</x:v>
      </x:c>
      <x:c r="F356" s="10" t="str"/>
      <x:c r="G356" s="10" t="str">
        <x:v>2026-08 / état au 2026-09-20</x:v>
      </x:c>
      <x:c r="H356" s="10" t="str">
        <x:v>SYNTHETIQUE</x:v>
      </x:c>
    </x:row>
  </x:sheetData>
  <x:pageMargins left="0.7" right="0.7" top="0.75" bottom="0.75" header="0.3" footer="0.3"/>
  <x:tableParts count="1">
    <x:tablePart xmlns:r="http://schemas.openxmlformats.org/officeDocument/2006/relationships" r:id="R6ac49ebd54cb4e9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40" hidden="0" customWidth="1"/>
    <x:col min="3" max="3" width="17" hidden="0" customWidth="1"/>
    <x:col min="4" max="4" width="46" hidden="0" customWidth="1"/>
    <x:col min="5" max="5" width="16" hidden="0" customWidth="1"/>
    <x:col min="6" max="6" width="17" hidden="0" customWidth="1"/>
    <x:col min="7" max="7" width="21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Organisation</x:v>
      </x:c>
      <x:c r="B2" s="2"/>
      <x:c r="C2" s="2"/>
      <x:c r="D2" s="2"/>
      <x:c r="E2" s="2"/>
      <x:c r="F2" s="2"/>
      <x:c r="G2" s="2"/>
    </x:row>
    <x:row r="3">
      <x:c r="A3" s="4" t="str">
        <x:v>DONNÉES SYNTHÉTIQUES — Assureur Démo France — août 2026 / état au 20 septembre 2026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42" customHeight="1">
      <x:c r="A5" s="8" t="str">
        <x:v>team_id</x:v>
      </x:c>
      <x:c r="B5" s="8" t="str">
        <x:v>Équipe</x:v>
      </x:c>
      <x:c r="C5" s="8" t="str">
        <x:v>persona_id</x:v>
      </x:c>
      <x:c r="D5" s="8" t="str">
        <x:v>Persona représentatif</x:v>
      </x:c>
      <x:c r="E5" s="8" t="str">
        <x:v>ETP équipe</x:v>
      </x:c>
      <x:c r="F5" s="8" t="str">
        <x:v>source_id</x:v>
      </x:c>
      <x:c r="G5" s="8" t="str">
        <x:v>Nature</x:v>
      </x:c>
    </x:row>
    <x:row r="6" ht="28" customHeight="1">
      <x:c r="A6" s="10" t="str">
        <x:v>TEAM-001</x:v>
      </x:c>
      <x:c r="B6" s="10" t="str">
        <x:v>Stratégie et organisation</x:v>
      </x:c>
      <x:c r="C6" s="10" t="str">
        <x:v>PER-001</x:v>
      </x:c>
      <x:c r="D6" s="10" t="str">
        <x:v>Responsable transformation</x:v>
      </x:c>
      <x:c r="E6" s="10" t="n">
        <x:v>20</x:v>
      </x:c>
      <x:c r="F6" s="10" t="str">
        <x:v>SRC-001</x:v>
      </x:c>
      <x:c r="G6" s="10" t="str">
        <x:v>SYNTHETIQUE</x:v>
      </x:c>
    </x:row>
    <x:row r="7" ht="28" customHeight="1">
      <x:c r="A7" s="11" t="str">
        <x:v>TEAM-002</x:v>
      </x:c>
      <x:c r="B7" s="11" t="str">
        <x:v>Produits et garanties</x:v>
      </x:c>
      <x:c r="C7" s="11" t="str">
        <x:v>PER-002</x:v>
      </x:c>
      <x:c r="D7" s="11" t="str">
        <x:v>Chef de produit assurance</x:v>
      </x:c>
      <x:c r="E7" s="11" t="n">
        <x:v>40</x:v>
      </x:c>
      <x:c r="F7" s="11" t="str">
        <x:v>SRC-007</x:v>
      </x:c>
      <x:c r="G7" s="11" t="str">
        <x:v>SYNTHETIQUE</x:v>
      </x:c>
    </x:row>
    <x:row r="8" ht="28" customHeight="1">
      <x:c r="A8" s="10" t="str">
        <x:v>TEAM-003</x:v>
      </x:c>
      <x:c r="B8" s="10" t="str">
        <x:v>Distribution et commercial</x:v>
      </x:c>
      <x:c r="C8" s="10" t="str">
        <x:v>PER-003</x:v>
      </x:c>
      <x:c r="D8" s="10" t="str">
        <x:v>Responsable de compte</x:v>
      </x:c>
      <x:c r="E8" s="10" t="n">
        <x:v>180</x:v>
      </x:c>
      <x:c r="F8" s="10" t="str">
        <x:v>SRC-013</x:v>
      </x:c>
      <x:c r="G8" s="10" t="str">
        <x:v>SYNTHETIQUE</x:v>
      </x:c>
    </x:row>
    <x:row r="9" ht="28" customHeight="1">
      <x:c r="A9" s="11" t="str">
        <x:v>TEAM-004</x:v>
      </x:c>
      <x:c r="B9" s="11" t="str">
        <x:v>Souscription et tarification</x:v>
      </x:c>
      <x:c r="C9" s="11" t="str">
        <x:v>PER-004</x:v>
      </x:c>
      <x:c r="D9" s="11" t="str">
        <x:v>Souscripteur risques professionnels</x:v>
      </x:c>
      <x:c r="E9" s="11" t="n">
        <x:v>90</x:v>
      </x:c>
      <x:c r="F9" s="11" t="str">
        <x:v>SRC-019</x:v>
      </x:c>
      <x:c r="G9" s="11" t="str">
        <x:v>SYNTHETIQUE</x:v>
      </x:c>
    </x:row>
    <x:row r="10" ht="28" customHeight="1">
      <x:c r="A10" s="10" t="str">
        <x:v>TEAM-005</x:v>
      </x:c>
      <x:c r="B10" s="10" t="str">
        <x:v>Gestion des contrats</x:v>
      </x:c>
      <x:c r="C10" s="10" t="str">
        <x:v>PER-005</x:v>
      </x:c>
      <x:c r="D10" s="10" t="str">
        <x:v>Gestionnaire contrats</x:v>
      </x:c>
      <x:c r="E10" s="10" t="n">
        <x:v>120</x:v>
      </x:c>
      <x:c r="F10" s="10" t="str">
        <x:v>SRC-025</x:v>
      </x:c>
      <x:c r="G10" s="10" t="str">
        <x:v>SYNTHETIQUE</x:v>
      </x:c>
    </x:row>
    <x:row r="11" ht="28" customHeight="1">
      <x:c r="A11" s="11" t="str">
        <x:v>TEAM-006</x:v>
      </x:c>
      <x:c r="B11" s="11" t="str">
        <x:v>Sinistres et indemnisation</x:v>
      </x:c>
      <x:c r="C11" s="11" t="str">
        <x:v>PER-006</x:v>
      </x:c>
      <x:c r="D11" s="11" t="str">
        <x:v>Gestionnaire sinistres habitation</x:v>
      </x:c>
      <x:c r="E11" s="11" t="n">
        <x:v>180</x:v>
      </x:c>
      <x:c r="F11" s="11" t="str">
        <x:v>SRC-031</x:v>
      </x:c>
      <x:c r="G11" s="11" t="str">
        <x:v>SYNTHETIQUE</x:v>
      </x:c>
    </x:row>
    <x:row r="12" ht="28" customHeight="1">
      <x:c r="A12" s="10" t="str">
        <x:v>TEAM-007</x:v>
      </x:c>
      <x:c r="B12" s="10" t="str">
        <x:v>Santé et prévoyance</x:v>
      </x:c>
      <x:c r="C12" s="10" t="str">
        <x:v>PER-007</x:v>
      </x:c>
      <x:c r="D12" s="10" t="str">
        <x:v>Gestionnaire prestations santé</x:v>
      </x:c>
      <x:c r="E12" s="10" t="n">
        <x:v>90</x:v>
      </x:c>
      <x:c r="F12" s="10" t="str">
        <x:v>SRC-039</x:v>
      </x:c>
      <x:c r="G12" s="10" t="str">
        <x:v>SYNTHETIQUE</x:v>
      </x:c>
    </x:row>
    <x:row r="13" ht="28" customHeight="1">
      <x:c r="A13" s="11" t="str">
        <x:v>TEAM-008</x:v>
      </x:c>
      <x:c r="B13" s="11" t="str">
        <x:v>Vie, épargne et retraite</x:v>
      </x:c>
      <x:c r="C13" s="11" t="str">
        <x:v>PER-008</x:v>
      </x:c>
      <x:c r="D13" s="11" t="str">
        <x:v>Conseiller épargne</x:v>
      </x:c>
      <x:c r="E13" s="11" t="n">
        <x:v>90</x:v>
      </x:c>
      <x:c r="F13" s="11" t="str">
        <x:v>SRC-044</x:v>
      </x:c>
      <x:c r="G13" s="11" t="str">
        <x:v>SYNTHETIQUE</x:v>
      </x:c>
    </x:row>
    <x:row r="14" ht="28" customHeight="1">
      <x:c r="A14" s="10" t="str">
        <x:v>TEAM-009</x:v>
      </x:c>
      <x:c r="B14" s="10" t="str">
        <x:v>Assistance et prestataires</x:v>
      </x:c>
      <x:c r="C14" s="10" t="str">
        <x:v>PER-009</x:v>
      </x:c>
      <x:c r="D14" s="10" t="str">
        <x:v>Coordinateur assistance</x:v>
      </x:c>
      <x:c r="E14" s="10" t="n">
        <x:v>60</x:v>
      </x:c>
      <x:c r="F14" s="10" t="str">
        <x:v>SRC-049</x:v>
      </x:c>
      <x:c r="G14" s="10" t="str">
        <x:v>SYNTHETIQUE</x:v>
      </x:c>
    </x:row>
    <x:row r="15" ht="28" customHeight="1">
      <x:c r="A15" s="11" t="str">
        <x:v>TEAM-010</x:v>
      </x:c>
      <x:c r="B15" s="11" t="str">
        <x:v>Réassurance et coassurance</x:v>
      </x:c>
      <x:c r="C15" s="11" t="str">
        <x:v>PER-010</x:v>
      </x:c>
      <x:c r="D15" s="11" t="str">
        <x:v>Analyste réassurance</x:v>
      </x:c>
      <x:c r="E15" s="11" t="n">
        <x:v>20</x:v>
      </x:c>
      <x:c r="F15" s="11" t="str">
        <x:v>SRC-054</x:v>
      </x:c>
      <x:c r="G15" s="11" t="str">
        <x:v>SYNTHETIQUE</x:v>
      </x:c>
    </x:row>
    <x:row r="16" ht="38" customHeight="1">
      <x:c r="A16" s="10" t="str">
        <x:v>TEAM-011</x:v>
      </x:c>
      <x:c r="B16" s="10" t="str">
        <x:v>Actuariat, capital et investissements</x:v>
      </x:c>
      <x:c r="C16" s="10" t="str">
        <x:v>PER-011</x:v>
      </x:c>
      <x:c r="D16" s="10" t="str">
        <x:v>Actuaire</x:v>
      </x:c>
      <x:c r="E16" s="10" t="n">
        <x:v>30</x:v>
      </x:c>
      <x:c r="F16" s="10" t="str">
        <x:v>SRC-058</x:v>
      </x:c>
      <x:c r="G16" s="10" t="str">
        <x:v>SYNTHETIQUE</x:v>
      </x:c>
    </x:row>
    <x:row r="17" ht="28" customHeight="1">
      <x:c r="A17" s="11" t="str">
        <x:v>TEAM-012</x:v>
      </x:c>
      <x:c r="B17" s="11" t="str">
        <x:v>Fraude et sécurité financière</x:v>
      </x:c>
      <x:c r="C17" s="11" t="str">
        <x:v>PER-012</x:v>
      </x:c>
      <x:c r="D17" s="11" t="str">
        <x:v>Analyste antifraude</x:v>
      </x:c>
      <x:c r="E17" s="11" t="n">
        <x:v>30</x:v>
      </x:c>
      <x:c r="F17" s="11" t="str">
        <x:v>SRC-063</x:v>
      </x:c>
      <x:c r="G17" s="11" t="str">
        <x:v>SYNTHETIQUE</x:v>
      </x:c>
    </x:row>
    <x:row r="18" ht="28" customHeight="1">
      <x:c r="A18" s="10" t="str">
        <x:v>TEAM-013</x:v>
      </x:c>
      <x:c r="B18" s="10" t="str">
        <x:v>Relation client et réclamations</x:v>
      </x:c>
      <x:c r="C18" s="10" t="str">
        <x:v>PER-013</x:v>
      </x:c>
      <x:c r="D18" s="10" t="str">
        <x:v>Conseiller relation client</x:v>
      </x:c>
      <x:c r="E18" s="10" t="n">
        <x:v>100</x:v>
      </x:c>
      <x:c r="F18" s="10" t="str">
        <x:v>SRC-068</x:v>
      </x:c>
      <x:c r="G18" s="10" t="str">
        <x:v>SYNTHETIQUE</x:v>
      </x:c>
    </x:row>
    <x:row r="19" ht="28" customHeight="1">
      <x:c r="A19" s="11" t="str">
        <x:v>TEAM-014</x:v>
      </x:c>
      <x:c r="B19" s="11" t="str">
        <x:v>Finance, achats et coût complet</x:v>
      </x:c>
      <x:c r="C19" s="11" t="str">
        <x:v>PER-014</x:v>
      </x:c>
      <x:c r="D19" s="11" t="str">
        <x:v>Contrôleur de gestion</x:v>
      </x:c>
      <x:c r="E19" s="11" t="n">
        <x:v>30</x:v>
      </x:c>
      <x:c r="F19" s="11" t="str">
        <x:v>SRC-074</x:v>
      </x:c>
      <x:c r="G19" s="11" t="str">
        <x:v>SYNTHETIQUE</x:v>
      </x:c>
    </x:row>
    <x:row r="20" ht="28" customHeight="1">
      <x:c r="A20" s="10" t="str">
        <x:v>TEAM-015</x:v>
      </x:c>
      <x:c r="B20" s="10" t="str">
        <x:v>RH, compétences et adoption</x:v>
      </x:c>
      <x:c r="C20" s="10" t="str">
        <x:v>PER-015</x:v>
      </x:c>
      <x:c r="D20" s="10" t="str">
        <x:v>Responsable formation</x:v>
      </x:c>
      <x:c r="E20" s="10" t="n">
        <x:v>25</x:v>
      </x:c>
      <x:c r="F20" s="10" t="str">
        <x:v>SRC-080</x:v>
      </x:c>
      <x:c r="G20" s="10" t="str">
        <x:v>SYNTHETIQUE</x:v>
      </x:c>
    </x:row>
    <x:row r="21" ht="38" customHeight="1">
      <x:c r="A21" s="11" t="str">
        <x:v>TEAM-016</x:v>
      </x:c>
      <x:c r="B21" s="11" t="str">
        <x:v>Applications, architecture et exploitation</x:v>
      </x:c>
      <x:c r="C21" s="11" t="str">
        <x:v>PER-016</x:v>
      </x:c>
      <x:c r="D21" s="11" t="str">
        <x:v>Analyste support SI</x:v>
      </x:c>
      <x:c r="E21" s="11" t="n">
        <x:v>40</x:v>
      </x:c>
      <x:c r="F21" s="11" t="str">
        <x:v>SRC-085</x:v>
      </x:c>
      <x:c r="G21" s="11" t="str">
        <x:v>SYNTHETIQUE</x:v>
      </x:c>
    </x:row>
    <x:row r="22" ht="28" customHeight="1">
      <x:c r="A22" s="10" t="str">
        <x:v>TEAM-017</x:v>
      </x:c>
      <x:c r="B22" s="10" t="str">
        <x:v>Données et patrimoine documentaire</x:v>
      </x:c>
      <x:c r="C22" s="10" t="str">
        <x:v>PER-017</x:v>
      </x:c>
      <x:c r="D22" s="10" t="str">
        <x:v>Data steward</x:v>
      </x:c>
      <x:c r="E22" s="10" t="n">
        <x:v>15</x:v>
      </x:c>
      <x:c r="F22" s="10" t="str">
        <x:v>SRC-092</x:v>
      </x:c>
      <x:c r="G22" s="10" t="str">
        <x:v>SYNTHETIQUE</x:v>
      </x:c>
    </x:row>
    <x:row r="23" ht="28" customHeight="1">
      <x:c r="A23" s="11" t="str">
        <x:v>TEAM-018</x:v>
      </x:c>
      <x:c r="B23" s="11" t="str">
        <x:v>IA, agents et usages réels</x:v>
      </x:c>
      <x:c r="C23" s="11" t="str">
        <x:v>PER-018</x:v>
      </x:c>
      <x:c r="D23" s="11" t="str">
        <x:v>Responsable plateforme IA</x:v>
      </x:c>
      <x:c r="E23" s="11" t="n">
        <x:v>10</x:v>
      </x:c>
      <x:c r="F23" s="11" t="str">
        <x:v>SRC-098</x:v>
      </x:c>
      <x:c r="G23" s="11" t="str">
        <x:v>SYNTHETIQUE</x:v>
      </x:c>
    </x:row>
    <x:row r="24" ht="38" customHeight="1">
      <x:c r="A24" s="10" t="str">
        <x:v>TEAM-019</x:v>
      </x:c>
      <x:c r="B24" s="10" t="str">
        <x:v>Gouvernance, conformité et cybersécurité</x:v>
      </x:c>
      <x:c r="C24" s="10" t="str">
        <x:v>PER-019</x:v>
      </x:c>
      <x:c r="D24" s="10" t="str">
        <x:v>Responsable contrôle interne</x:v>
      </x:c>
      <x:c r="E24" s="10" t="n">
        <x:v>10</x:v>
      </x:c>
      <x:c r="F24" s="10" t="str">
        <x:v>SRC-106</x:v>
      </x:c>
      <x:c r="G24" s="10" t="str">
        <x:v>SYNTHETIQUE</x:v>
      </x:c>
    </x:row>
    <x:row r="25" ht="38" customHeight="1">
      <x:c r="A25" s="11" t="str">
        <x:v>TEAM-020</x:v>
      </x:c>
      <x:c r="B25" s="11" t="str">
        <x:v>Travail informel et connaissances tacites</x:v>
      </x:c>
      <x:c r="C25" s="11" t="str">
        <x:v>PER-020</x:v>
      </x:c>
      <x:c r="D25" s="11" t="str">
        <x:v>Expert méthodes métier</x:v>
      </x:c>
      <x:c r="E25" s="11" t="n">
        <x:v>20</x:v>
      </x:c>
      <x:c r="F25" s="11" t="str">
        <x:v>SRC-112</x:v>
      </x:c>
      <x:c r="G25" s="11" t="str">
        <x:v>SYNTHETIQUE</x:v>
      </x:c>
    </x:row>
  </x:sheetData>
  <x:pageMargins left="0.7" right="0.7" top="0.75" bottom="0.75" header="0.3" footer="0.3"/>
  <x:tableParts count="1">
    <x:tablePart xmlns:r="http://schemas.openxmlformats.org/officeDocument/2006/relationships" r:id="R03fe84013bfa444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49" hidden="0" customWidth="1"/>
    <x:col min="6" max="6" width="17" hidden="0" customWidth="1"/>
    <x:col min="7" max="7" width="51" hidden="0" customWidth="1"/>
    <x:col min="8" max="8" width="23" hidden="0" customWidth="1"/>
    <x:col min="9" max="9" width="18" hidden="0" customWidth="1"/>
    <x:col min="10" max="10" width="23" hidden="0" customWidth="1"/>
    <x:col min="11" max="11" width="14" hidden="0" customWidth="1"/>
    <x:col min="12" max="12" width="20" hidden="0" customWidth="1"/>
    <x:col min="13" max="13" width="20" hidden="0" customWidth="1"/>
    <x:col min="14" max="14" width="17" hidden="0" customWidth="1"/>
    <x:col min="15" max="15" width="2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3" t="str">
        <x:v>Activités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4" t="str">
        <x:v>DONNÉES SYNTHÉTIQUES — Assureur Démo France — août 2026 / état au 20 septembre 2026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42" customHeight="1">
      <x:c r="A5" s="8" t="str">
        <x:v>activity_id</x:v>
      </x:c>
      <x:c r="B5" s="8" t="str">
        <x:v>persona_id</x:v>
      </x:c>
      <x:c r="C5" s="8" t="str">
        <x:v>team_id</x:v>
      </x:c>
      <x:c r="D5" s="8" t="str">
        <x:v>process_id</x:v>
      </x:c>
      <x:c r="E5" s="8" t="str">
        <x:v>Activité</x:v>
      </x:c>
      <x:c r="F5" s="8" t="str">
        <x:v>decision_id</x:v>
      </x:c>
      <x:c r="G5" s="8" t="str">
        <x:v>Décision</x:v>
      </x:c>
      <x:c r="H5" s="8" t="str">
        <x:v>Catégorie</x:v>
      </x:c>
      <x:c r="I5" s="8" t="str">
        <x:v>Volume mensuel</x:v>
      </x:c>
      <x:c r="J5" s="8" t="str">
        <x:v>Minutes / tâche avant</x:v>
      </x:c>
      <x:c r="K5" s="8" t="str">
        <x:v>D actuel</x:v>
      </x:c>
      <x:c r="L5" s="8" t="str">
        <x:v>D cible proposé</x:v>
      </x:c>
      <x:c r="M5" s="8" t="str">
        <x:v>application_id</x:v>
      </x:c>
      <x:c r="N5" s="8" t="str">
        <x:v>source_id</x:v>
      </x:c>
      <x:c r="O5" s="8" t="str">
        <x:v>Nature</x:v>
      </x:c>
    </x:row>
    <x:row r="6" ht="28" customHeight="1">
      <x:c r="A6" s="10" t="str">
        <x:v>ACT-001</x:v>
      </x:c>
      <x:c r="B6" s="10" t="str">
        <x:v>PER-001</x:v>
      </x:c>
      <x:c r="C6" s="10" t="str">
        <x:v>TEAM-001</x:v>
      </x:c>
      <x:c r="D6" s="10" t="str">
        <x:v>PROC-001</x:v>
      </x:c>
      <x:c r="E6" s="10" t="str">
        <x:v>Prioriser le portefeuille IA</x:v>
      </x:c>
      <x:c r="F6" s="10" t="str">
        <x:v>DEC-001</x:v>
      </x:c>
      <x:c r="G6" s="10" t="str">
        <x:v>Affecter le budget aux projets</x:v>
      </x:c>
      <x:c r="H6" s="10" t="str">
        <x:v>Stratégique</x:v>
      </x:c>
      <x:c r="I6" s="10" t="n">
        <x:v>20</x:v>
      </x:c>
      <x:c r="J6" s="10" t="n">
        <x:v>120</x:v>
      </x:c>
      <x:c r="K6" s="10" t="n">
        <x:v>1</x:v>
      </x:c>
      <x:c r="L6" s="10" t="n">
        <x:v>3</x:v>
      </x:c>
      <x:c r="M6" s="10" t="str">
        <x:v>APP-001</x:v>
      </x:c>
      <x:c r="N6" s="10" t="str">
        <x:v>SRC-001</x:v>
      </x:c>
      <x:c r="O6" s="10" t="str">
        <x:v>SYNTHETIQUE</x:v>
      </x:c>
    </x:row>
    <x:row r="7" ht="28" customHeight="1">
      <x:c r="A7" s="11" t="str">
        <x:v>ACT-002</x:v>
      </x:c>
      <x:c r="B7" s="11" t="str">
        <x:v>PER-001</x:v>
      </x:c>
      <x:c r="C7" s="11" t="str">
        <x:v>TEAM-001</x:v>
      </x:c>
      <x:c r="D7" s="11" t="str">
        <x:v>PROC-001</x:v>
      </x:c>
      <x:c r="E7" s="11" t="str">
        <x:v>Préparer le comité de transformation</x:v>
      </x:c>
      <x:c r="F7" s="11" t="str">
        <x:v>DEC-002</x:v>
      </x:c>
      <x:c r="G7" s="11" t="str">
        <x:v>Valider un jalon de déploiement</x:v>
      </x:c>
      <x:c r="H7" s="11" t="str">
        <x:v>Stratégique</x:v>
      </x:c>
      <x:c r="I7" s="11" t="n">
        <x:v>8</x:v>
      </x:c>
      <x:c r="J7" s="11" t="n">
        <x:v>90</x:v>
      </x:c>
      <x:c r="K7" s="11" t="n">
        <x:v>1</x:v>
      </x:c>
      <x:c r="L7" s="11" t="n">
        <x:v>2</x:v>
      </x:c>
      <x:c r="M7" s="11" t="str">
        <x:v>APP-001</x:v>
      </x:c>
      <x:c r="N7" s="11" t="str">
        <x:v>SRC-001</x:v>
      </x:c>
      <x:c r="O7" s="11" t="str">
        <x:v>SYNTHETIQUE</x:v>
      </x:c>
    </x:row>
    <x:row r="8" ht="28" customHeight="1">
      <x:c r="A8" s="10" t="str">
        <x:v>ACT-003</x:v>
      </x:c>
      <x:c r="B8" s="10" t="str">
        <x:v>PER-002</x:v>
      </x:c>
      <x:c r="C8" s="10" t="str">
        <x:v>TEAM-002</x:v>
      </x:c>
      <x:c r="D8" s="10" t="str">
        <x:v>PROC-002</x:v>
      </x:c>
      <x:c r="E8" s="10" t="str">
        <x:v>Expliquer une garantie au client</x:v>
      </x:c>
      <x:c r="F8" s="10" t="str">
        <x:v>DEC-003</x:v>
      </x:c>
      <x:c r="G8" s="10" t="str">
        <x:v>Confirmer la clause applicable</x:v>
      </x:c>
      <x:c r="H8" s="10" t="str">
        <x:v>Produit</x:v>
      </x:c>
      <x:c r="I8" s="10" t="n">
        <x:v>6000</x:v>
      </x:c>
      <x:c r="J8" s="10" t="n">
        <x:v>6</x:v>
      </x:c>
      <x:c r="K8" s="10" t="n">
        <x:v>1</x:v>
      </x:c>
      <x:c r="L8" s="10" t="n">
        <x:v>2</x:v>
      </x:c>
      <x:c r="M8" s="10" t="str">
        <x:v>APP-002</x:v>
      </x:c>
      <x:c r="N8" s="10" t="str">
        <x:v>SRC-007</x:v>
      </x:c>
      <x:c r="O8" s="10" t="str">
        <x:v>SYNTHETIQUE</x:v>
      </x:c>
    </x:row>
    <x:row r="9" ht="28" customHeight="1">
      <x:c r="A9" s="11" t="str">
        <x:v>ACT-004</x:v>
      </x:c>
      <x:c r="B9" s="11" t="str">
        <x:v>PER-002</x:v>
      </x:c>
      <x:c r="C9" s="11" t="str">
        <x:v>TEAM-002</x:v>
      </x:c>
      <x:c r="D9" s="11" t="str">
        <x:v>PROC-002</x:v>
      </x:c>
      <x:c r="E9" s="11" t="str">
        <x:v>Revoir la documentation produit</x:v>
      </x:c>
      <x:c r="F9" s="11" t="str">
        <x:v>DEC-004</x:v>
      </x:c>
      <x:c r="G9" s="11" t="str">
        <x:v>Autoriser une nouvelle version</x:v>
      </x:c>
      <x:c r="H9" s="11" t="str">
        <x:v>Sécurisation</x:v>
      </x:c>
      <x:c r="I9" s="11" t="n">
        <x:v>40</x:v>
      </x:c>
      <x:c r="J9" s="11" t="n">
        <x:v>90</x:v>
      </x:c>
      <x:c r="K9" s="11" t="n">
        <x:v>1</x:v>
      </x:c>
      <x:c r="L9" s="11" t="n">
        <x:v>3</x:v>
      </x:c>
      <x:c r="M9" s="11" t="str">
        <x:v>APP-002</x:v>
      </x:c>
      <x:c r="N9" s="11" t="str">
        <x:v>SRC-007</x:v>
      </x:c>
      <x:c r="O9" s="11" t="str">
        <x:v>SYNTHETIQUE</x:v>
      </x:c>
    </x:row>
    <x:row r="10" ht="28" customHeight="1">
      <x:c r="A10" s="10" t="str">
        <x:v>ACT-005</x:v>
      </x:c>
      <x:c r="B10" s="10" t="str">
        <x:v>PER-003</x:v>
      </x:c>
      <x:c r="C10" s="10" t="str">
        <x:v>TEAM-003</x:v>
      </x:c>
      <x:c r="D10" s="10" t="str">
        <x:v>PROC-003</x:v>
      </x:c>
      <x:c r="E10" s="10" t="str">
        <x:v>Préparer un rendez-vous commercial</x:v>
      </x:c>
      <x:c r="F10" s="10" t="str">
        <x:v>DEC-005</x:v>
      </x:c>
      <x:c r="G10" s="10" t="str">
        <x:v>Choisir les sujets à proposer</x:v>
      </x:c>
      <x:c r="H10" s="10" t="str">
        <x:v>Go-to-market</x:v>
      </x:c>
      <x:c r="I10" s="10" t="n">
        <x:v>2400</x:v>
      </x:c>
      <x:c r="J10" s="10" t="n">
        <x:v>20</x:v>
      </x:c>
      <x:c r="K10" s="10" t="n">
        <x:v>2</x:v>
      </x:c>
      <x:c r="L10" s="10" t="n">
        <x:v>2</x:v>
      </x:c>
      <x:c r="M10" s="10" t="str">
        <x:v>APP-003</x:v>
      </x:c>
      <x:c r="N10" s="10" t="str">
        <x:v>SRC-013</x:v>
      </x:c>
      <x:c r="O10" s="10" t="str">
        <x:v>SYNTHETIQUE</x:v>
      </x:c>
    </x:row>
    <x:row r="11" ht="28" customHeight="1">
      <x:c r="A11" s="11" t="str">
        <x:v>ACT-006</x:v>
      </x:c>
      <x:c r="B11" s="11" t="str">
        <x:v>PER-003</x:v>
      </x:c>
      <x:c r="C11" s="11" t="str">
        <x:v>TEAM-003</x:v>
      </x:c>
      <x:c r="D11" s="11" t="str">
        <x:v>PROC-003</x:v>
      </x:c>
      <x:c r="E11" s="11" t="str">
        <x:v>Préparer une réponse à appel d’offres</x:v>
      </x:c>
      <x:c r="F11" s="11" t="str">
        <x:v>DEC-006</x:v>
      </x:c>
      <x:c r="G11" s="11" t="str">
        <x:v>Valider les engagements de l’offre</x:v>
      </x:c>
      <x:c r="H11" s="11" t="str">
        <x:v>Go-to-market</x:v>
      </x:c>
      <x:c r="I11" s="11" t="n">
        <x:v>30</x:v>
      </x:c>
      <x:c r="J11" s="11" t="n">
        <x:v>240</x:v>
      </x:c>
      <x:c r="K11" s="11" t="n">
        <x:v>1</x:v>
      </x:c>
      <x:c r="L11" s="11" t="n">
        <x:v>2</x:v>
      </x:c>
      <x:c r="M11" s="11" t="str">
        <x:v>APP-003</x:v>
      </x:c>
      <x:c r="N11" s="11" t="str">
        <x:v>SRC-013</x:v>
      </x:c>
      <x:c r="O11" s="11" t="str">
        <x:v>SYNTHETIQUE</x:v>
      </x:c>
    </x:row>
    <x:row r="12" ht="28" customHeight="1">
      <x:c r="A12" s="10" t="str">
        <x:v>ACT-007</x:v>
      </x:c>
      <x:c r="B12" s="10" t="str">
        <x:v>PER-004</x:v>
      </x:c>
      <x:c r="C12" s="10" t="str">
        <x:v>TEAM-004</x:v>
      </x:c>
      <x:c r="D12" s="10" t="str">
        <x:v>PROC-004</x:v>
      </x:c>
      <x:c r="E12" s="10" t="str">
        <x:v>Vérifier un dossier de souscription</x:v>
      </x:c>
      <x:c r="F12" s="10" t="str">
        <x:v>DEC-007</x:v>
      </x:c>
      <x:c r="G12" s="10" t="str">
        <x:v>Déclarer le dossier complet</x:v>
      </x:c>
      <x:c r="H12" s="10" t="str">
        <x:v>Productivité</x:v>
      </x:c>
      <x:c r="I12" s="10" t="n">
        <x:v>1600</x:v>
      </x:c>
      <x:c r="J12" s="10" t="n">
        <x:v>15</x:v>
      </x:c>
      <x:c r="K12" s="10" t="n">
        <x:v>1</x:v>
      </x:c>
      <x:c r="L12" s="10" t="n">
        <x:v>2</x:v>
      </x:c>
      <x:c r="M12" s="10" t="str">
        <x:v>APP-004</x:v>
      </x:c>
      <x:c r="N12" s="10" t="str">
        <x:v>SRC-019</x:v>
      </x:c>
      <x:c r="O12" s="10" t="str">
        <x:v>SYNTHETIQUE</x:v>
      </x:c>
    </x:row>
    <x:row r="13" ht="28" customHeight="1">
      <x:c r="A13" s="11" t="str">
        <x:v>ACT-008</x:v>
      </x:c>
      <x:c r="B13" s="11" t="str">
        <x:v>PER-004</x:v>
      </x:c>
      <x:c r="C13" s="11" t="str">
        <x:v>TEAM-004</x:v>
      </x:c>
      <x:c r="D13" s="11" t="str">
        <x:v>PROC-004</x:v>
      </x:c>
      <x:c r="E13" s="11" t="str">
        <x:v>Instruire une dérogation tarifaire</x:v>
      </x:c>
      <x:c r="F13" s="11" t="str">
        <x:v>DEC-008</x:v>
      </x:c>
      <x:c r="G13" s="11" t="str">
        <x:v>Accorder ou refuser la dérogation</x:v>
      </x:c>
      <x:c r="H13" s="11" t="str">
        <x:v>Sécurisation</x:v>
      </x:c>
      <x:c r="I13" s="11" t="n">
        <x:v>96</x:v>
      </x:c>
      <x:c r="J13" s="11" t="n">
        <x:v>45</x:v>
      </x:c>
      <x:c r="K13" s="11" t="n">
        <x:v>1</x:v>
      </x:c>
      <x:c r="L13" s="11" t="n">
        <x:v>3</x:v>
      </x:c>
      <x:c r="M13" s="11" t="str">
        <x:v>APP-004</x:v>
      </x:c>
      <x:c r="N13" s="11" t="str">
        <x:v>SRC-019</x:v>
      </x:c>
      <x:c r="O13" s="11" t="str">
        <x:v>SYNTHETIQUE</x:v>
      </x:c>
    </x:row>
    <x:row r="14" ht="28" customHeight="1">
      <x:c r="A14" s="10" t="str">
        <x:v>ACT-009</x:v>
      </x:c>
      <x:c r="B14" s="10" t="str">
        <x:v>PER-005</x:v>
      </x:c>
      <x:c r="C14" s="10" t="str">
        <x:v>TEAM-005</x:v>
      </x:c>
      <x:c r="D14" s="10" t="str">
        <x:v>PROC-005</x:v>
      </x:c>
      <x:c r="E14" s="10" t="str">
        <x:v>Traiter un avenant</x:v>
      </x:c>
      <x:c r="F14" s="10" t="str">
        <x:v>DEC-009</x:v>
      </x:c>
      <x:c r="G14" s="10" t="str">
        <x:v>Valider la modification de garantie</x:v>
      </x:c>
      <x:c r="H14" s="10" t="str">
        <x:v>Productivité</x:v>
      </x:c>
      <x:c r="I14" s="10" t="n">
        <x:v>4200</x:v>
      </x:c>
      <x:c r="J14" s="10" t="n">
        <x:v>12</x:v>
      </x:c>
      <x:c r="K14" s="10" t="n">
        <x:v>1</x:v>
      </x:c>
      <x:c r="L14" s="10" t="n">
        <x:v>2</x:v>
      </x:c>
      <x:c r="M14" s="10" t="str">
        <x:v>APP-005</x:v>
      </x:c>
      <x:c r="N14" s="10" t="str">
        <x:v>SRC-025</x:v>
      </x:c>
      <x:c r="O14" s="10" t="str">
        <x:v>SYNTHETIQUE</x:v>
      </x:c>
    </x:row>
    <x:row r="15" ht="28" customHeight="1">
      <x:c r="A15" s="11" t="str">
        <x:v>ACT-010</x:v>
      </x:c>
      <x:c r="B15" s="11" t="str">
        <x:v>PER-005</x:v>
      </x:c>
      <x:c r="C15" s="11" t="str">
        <x:v>TEAM-005</x:v>
      </x:c>
      <x:c r="D15" s="11" t="str">
        <x:v>PROC-005</x:v>
      </x:c>
      <x:c r="E15" s="11" t="str">
        <x:v>Relancer les pièces contractuelles</x:v>
      </x:c>
      <x:c r="F15" s="11" t="str">
        <x:v>DEC-010</x:v>
      </x:c>
      <x:c r="G15" s="11" t="str">
        <x:v>Autoriser émission du contrat</x:v>
      </x:c>
      <x:c r="H15" s="11" t="str">
        <x:v>Productivité</x:v>
      </x:c>
      <x:c r="I15" s="11" t="n">
        <x:v>1800</x:v>
      </x:c>
      <x:c r="J15" s="11" t="n">
        <x:v>8</x:v>
      </x:c>
      <x:c r="K15" s="11" t="n">
        <x:v>1</x:v>
      </x:c>
      <x:c r="L15" s="11" t="n">
        <x:v>2</x:v>
      </x:c>
      <x:c r="M15" s="11" t="str">
        <x:v>APP-005</x:v>
      </x:c>
      <x:c r="N15" s="11" t="str">
        <x:v>SRC-025</x:v>
      </x:c>
      <x:c r="O15" s="11" t="str">
        <x:v>SYNTHETIQUE</x:v>
      </x:c>
    </x:row>
    <x:row r="16" ht="28" customHeight="1">
      <x:c r="A16" s="10" t="str">
        <x:v>ACT-011</x:v>
      </x:c>
      <x:c r="B16" s="10" t="str">
        <x:v>PER-006</x:v>
      </x:c>
      <x:c r="C16" s="10" t="str">
        <x:v>TEAM-006</x:v>
      </x:c>
      <x:c r="D16" s="10" t="str">
        <x:v>PROC-006</x:v>
      </x:c>
      <x:c r="E16" s="10" t="str">
        <x:v>Pré-instruire un sinistre habitation</x:v>
      </x:c>
      <x:c r="F16" s="10" t="str">
        <x:v>DEC-011</x:v>
      </x:c>
      <x:c r="G16" s="10" t="str">
        <x:v>Recommander la suite du dossier</x:v>
      </x:c>
      <x:c r="H16" s="10" t="str">
        <x:v>Productivité</x:v>
      </x:c>
      <x:c r="I16" s="10" t="n">
        <x:v>3600</x:v>
      </x:c>
      <x:c r="J16" s="10" t="n">
        <x:v>18</x:v>
      </x:c>
      <x:c r="K16" s="10" t="n">
        <x:v>2</x:v>
      </x:c>
      <x:c r="L16" s="10" t="n">
        <x:v>3</x:v>
      </x:c>
      <x:c r="M16" s="10" t="str">
        <x:v>APP-006</x:v>
      </x:c>
      <x:c r="N16" s="10" t="str">
        <x:v>SRC-031</x:v>
      </x:c>
      <x:c r="O16" s="10" t="str">
        <x:v>SYNTHETIQUE</x:v>
      </x:c>
    </x:row>
    <x:row r="17" ht="28" customHeight="1">
      <x:c r="A17" s="11" t="str">
        <x:v>ACT-012</x:v>
      </x:c>
      <x:c r="B17" s="11" t="str">
        <x:v>PER-006</x:v>
      </x:c>
      <x:c r="C17" s="11" t="str">
        <x:v>TEAM-006</x:v>
      </x:c>
      <x:c r="D17" s="11" t="str">
        <x:v>PROC-006</x:v>
      </x:c>
      <x:c r="E17" s="11" t="str">
        <x:v>Préparer et autoriser un paiement</x:v>
      </x:c>
      <x:c r="F17" s="11" t="str">
        <x:v>DEC-012</x:v>
      </x:c>
      <x:c r="G17" s="11" t="str">
        <x:v>Autoriser le règlement du sinistre</x:v>
      </x:c>
      <x:c r="H17" s="11" t="str">
        <x:v>Sécurisation</x:v>
      </x:c>
      <x:c r="I17" s="11" t="n">
        <x:v>2400</x:v>
      </x:c>
      <x:c r="J17" s="11" t="n">
        <x:v>10</x:v>
      </x:c>
      <x:c r="K17" s="11" t="n">
        <x:v>4</x:v>
      </x:c>
      <x:c r="L17" s="11" t="n">
        <x:v>2</x:v>
      </x:c>
      <x:c r="M17" s="11" t="str">
        <x:v>APP-006</x:v>
      </x:c>
      <x:c r="N17" s="11" t="str">
        <x:v>SRC-031</x:v>
      </x:c>
      <x:c r="O17" s="11" t="str">
        <x:v>SYNTHETIQUE</x:v>
      </x:c>
    </x:row>
    <x:row r="18" ht="28" customHeight="1">
      <x:c r="A18" s="10" t="str">
        <x:v>ACT-013</x:v>
      </x:c>
      <x:c r="B18" s="10" t="str">
        <x:v>PER-007</x:v>
      </x:c>
      <x:c r="C18" s="10" t="str">
        <x:v>TEAM-007</x:v>
      </x:c>
      <x:c r="D18" s="10" t="str">
        <x:v>PROC-007</x:v>
      </x:c>
      <x:c r="E18" s="10" t="str">
        <x:v>Contrôler les rejets de remboursement</x:v>
      </x:c>
      <x:c r="F18" s="10" t="str">
        <x:v>DEC-013</x:v>
      </x:c>
      <x:c r="G18" s="10" t="str">
        <x:v>Valider la correction administrative</x:v>
      </x:c>
      <x:c r="H18" s="10" t="str">
        <x:v>Productivité</x:v>
      </x:c>
      <x:c r="I18" s="10" t="n">
        <x:v>3600</x:v>
      </x:c>
      <x:c r="J18" s="10" t="n">
        <x:v>4</x:v>
      </x:c>
      <x:c r="K18" s="10" t="n">
        <x:v>1</x:v>
      </x:c>
      <x:c r="L18" s="10" t="n">
        <x:v>2</x:v>
      </x:c>
      <x:c r="M18" s="10" t="str">
        <x:v>APP-007</x:v>
      </x:c>
      <x:c r="N18" s="10" t="str">
        <x:v>SRC-039</x:v>
      </x:c>
      <x:c r="O18" s="10" t="str">
        <x:v>SYNTHETIQUE</x:v>
      </x:c>
    </x:row>
    <x:row r="19" ht="28" customHeight="1">
      <x:c r="A19" s="11" t="str">
        <x:v>ACT-014</x:v>
      </x:c>
      <x:c r="B19" s="11" t="str">
        <x:v>PER-007</x:v>
      </x:c>
      <x:c r="C19" s="11" t="str">
        <x:v>TEAM-007</x:v>
      </x:c>
      <x:c r="D19" s="11" t="str">
        <x:v>PROC-007</x:v>
      </x:c>
      <x:c r="E19" s="11" t="str">
        <x:v>Préparer un dossier prévoyance</x:v>
      </x:c>
      <x:c r="F19" s="11" t="str">
        <x:v>DEC-014</x:v>
      </x:c>
      <x:c r="G19" s="11" t="str">
        <x:v>Valider sa complétude administrative</x:v>
      </x:c>
      <x:c r="H19" s="11" t="str">
        <x:v>Sécurisation</x:v>
      </x:c>
      <x:c r="I19" s="11" t="n">
        <x:v>400</x:v>
      </x:c>
      <x:c r="J19" s="11" t="n">
        <x:v>30</x:v>
      </x:c>
      <x:c r="K19" s="11" t="n">
        <x:v>0</x:v>
      </x:c>
      <x:c r="L19" s="11" t="n">
        <x:v>2</x:v>
      </x:c>
      <x:c r="M19" s="11" t="str">
        <x:v>APP-007</x:v>
      </x:c>
      <x:c r="N19" s="11" t="str">
        <x:v>SRC-039</x:v>
      </x:c>
      <x:c r="O19" s="11" t="str">
        <x:v>SYNTHETIQUE</x:v>
      </x:c>
    </x:row>
    <x:row r="20" ht="28" customHeight="1">
      <x:c r="A20" s="10" t="str">
        <x:v>ACT-015</x:v>
      </x:c>
      <x:c r="B20" s="10" t="str">
        <x:v>PER-008</x:v>
      </x:c>
      <x:c r="C20" s="10" t="str">
        <x:v>TEAM-008</x:v>
      </x:c>
      <x:c r="D20" s="10" t="str">
        <x:v>PROC-008</x:v>
      </x:c>
      <x:c r="E20" s="10" t="str">
        <x:v>Préparer un entretien épargne</x:v>
      </x:c>
      <x:c r="F20" s="10" t="str">
        <x:v>DEC-015</x:v>
      </x:c>
      <x:c r="G20" s="10" t="str">
        <x:v>Valider la proposition par le conseiller</x:v>
      </x:c>
      <x:c r="H20" s="10" t="str">
        <x:v>Go-to-market</x:v>
      </x:c>
      <x:c r="I20" s="10" t="n">
        <x:v>1500</x:v>
      </x:c>
      <x:c r="J20" s="10" t="n">
        <x:v>25</x:v>
      </x:c>
      <x:c r="K20" s="10" t="n">
        <x:v>2</x:v>
      </x:c>
      <x:c r="L20" s="10" t="n">
        <x:v>2</x:v>
      </x:c>
      <x:c r="M20" s="10" t="str">
        <x:v>APP-008</x:v>
      </x:c>
      <x:c r="N20" s="10" t="str">
        <x:v>SRC-044</x:v>
      </x:c>
      <x:c r="O20" s="10" t="str">
        <x:v>SYNTHETIQUE</x:v>
      </x:c>
    </x:row>
    <x:row r="21" ht="28" customHeight="1">
      <x:c r="A21" s="11" t="str">
        <x:v>ACT-016</x:v>
      </x:c>
      <x:c r="B21" s="11" t="str">
        <x:v>PER-008</x:v>
      </x:c>
      <x:c r="C21" s="11" t="str">
        <x:v>TEAM-008</x:v>
      </x:c>
      <x:c r="D21" s="11" t="str">
        <x:v>PROC-008</x:v>
      </x:c>
      <x:c r="E21" s="11" t="str">
        <x:v>Vérifier un dossier de rachat</x:v>
      </x:c>
      <x:c r="F21" s="11" t="str">
        <x:v>DEC-016</x:v>
      </x:c>
      <x:c r="G21" s="11" t="str">
        <x:v>Autoriser le traitement de l’opération</x:v>
      </x:c>
      <x:c r="H21" s="11" t="str">
        <x:v>Sécurisation</x:v>
      </x:c>
      <x:c r="I21" s="11" t="n">
        <x:v>850</x:v>
      </x:c>
      <x:c r="J21" s="11" t="n">
        <x:v>15</x:v>
      </x:c>
      <x:c r="K21" s="11" t="n">
        <x:v>1</x:v>
      </x:c>
      <x:c r="L21" s="11" t="n">
        <x:v>2</x:v>
      </x:c>
      <x:c r="M21" s="11" t="str">
        <x:v>APP-008</x:v>
      </x:c>
      <x:c r="N21" s="11" t="str">
        <x:v>SRC-044</x:v>
      </x:c>
      <x:c r="O21" s="11" t="str">
        <x:v>SYNTHETIQUE</x:v>
      </x:c>
    </x:row>
    <x:row r="22" ht="28" customHeight="1">
      <x:c r="A22" s="10" t="str">
        <x:v>ACT-017</x:v>
      </x:c>
      <x:c r="B22" s="10" t="str">
        <x:v>PER-009</x:v>
      </x:c>
      <x:c r="C22" s="10" t="str">
        <x:v>TEAM-009</x:v>
      </x:c>
      <x:c r="D22" s="10" t="str">
        <x:v>PROC-009</x:v>
      </x:c>
      <x:c r="E22" s="10" t="str">
        <x:v>Orienter une demande d’assistance</x:v>
      </x:c>
      <x:c r="F22" s="10" t="str">
        <x:v>DEC-017</x:v>
      </x:c>
      <x:c r="G22" s="10" t="str">
        <x:v>Choisir un prestataire disponible</x:v>
      </x:c>
      <x:c r="H22" s="10" t="str">
        <x:v>Produit</x:v>
      </x:c>
      <x:c r="I22" s="10" t="n">
        <x:v>2800</x:v>
      </x:c>
      <x:c r="J22" s="10" t="n">
        <x:v>8</x:v>
      </x:c>
      <x:c r="K22" s="10" t="n">
        <x:v>3</x:v>
      </x:c>
      <x:c r="L22" s="10" t="n">
        <x:v>3</x:v>
      </x:c>
      <x:c r="M22" s="10" t="str">
        <x:v>APP-009</x:v>
      </x:c>
      <x:c r="N22" s="10" t="str">
        <x:v>SRC-049</x:v>
      </x:c>
      <x:c r="O22" s="10" t="str">
        <x:v>SYNTHETIQUE</x:v>
      </x:c>
    </x:row>
    <x:row r="23" ht="28" customHeight="1">
      <x:c r="A23" s="11" t="str">
        <x:v>ACT-018</x:v>
      </x:c>
      <x:c r="B23" s="11" t="str">
        <x:v>PER-009</x:v>
      </x:c>
      <x:c r="C23" s="11" t="str">
        <x:v>TEAM-009</x:v>
      </x:c>
      <x:c r="D23" s="11" t="str">
        <x:v>PROC-009</x:v>
      </x:c>
      <x:c r="E23" s="11" t="str">
        <x:v>Suivre une intervention</x:v>
      </x:c>
      <x:c r="F23" s="11" t="str">
        <x:v>DEC-018</x:v>
      </x:c>
      <x:c r="G23" s="11" t="str">
        <x:v>Escalader un retard critique</x:v>
      </x:c>
      <x:c r="H23" s="11" t="str">
        <x:v>Productivité</x:v>
      </x:c>
      <x:c r="I23" s="11" t="n">
        <x:v>2800</x:v>
      </x:c>
      <x:c r="J23" s="11" t="n">
        <x:v>5</x:v>
      </x:c>
      <x:c r="K23" s="11" t="n">
        <x:v>1</x:v>
      </x:c>
      <x:c r="L23" s="11" t="n">
        <x:v>3</x:v>
      </x:c>
      <x:c r="M23" s="11" t="str">
        <x:v>APP-009</x:v>
      </x:c>
      <x:c r="N23" s="11" t="str">
        <x:v>SRC-049</x:v>
      </x:c>
      <x:c r="O23" s="11" t="str">
        <x:v>SYNTHETIQUE</x:v>
      </x:c>
    </x:row>
    <x:row r="24" ht="28" customHeight="1">
      <x:c r="A24" s="10" t="str">
        <x:v>ACT-019</x:v>
      </x:c>
      <x:c r="B24" s="10" t="str">
        <x:v>PER-010</x:v>
      </x:c>
      <x:c r="C24" s="10" t="str">
        <x:v>TEAM-010</x:v>
      </x:c>
      <x:c r="D24" s="10" t="str">
        <x:v>PROC-010</x:v>
      </x:c>
      <x:c r="E24" s="10" t="str">
        <x:v>Analyser un traité de réassurance</x:v>
      </x:c>
      <x:c r="F24" s="10" t="str">
        <x:v>DEC-019</x:v>
      </x:c>
      <x:c r="G24" s="10" t="str">
        <x:v>Valider une interprétation de clause</x:v>
      </x:c>
      <x:c r="H24" s="10" t="str">
        <x:v>Sécurisation</x:v>
      </x:c>
      <x:c r="I24" s="10" t="n">
        <x:v>20</x:v>
      </x:c>
      <x:c r="J24" s="10" t="n">
        <x:v>180</x:v>
      </x:c>
      <x:c r="K24" s="10" t="n">
        <x:v>2</x:v>
      </x:c>
      <x:c r="L24" s="10" t="n">
        <x:v>3</x:v>
      </x:c>
      <x:c r="M24" s="10" t="str">
        <x:v>APP-010</x:v>
      </x:c>
      <x:c r="N24" s="10" t="str">
        <x:v>SRC-054</x:v>
      </x:c>
      <x:c r="O24" s="10" t="str">
        <x:v>SYNTHETIQUE</x:v>
      </x:c>
    </x:row>
    <x:row r="25" ht="28" customHeight="1">
      <x:c r="A25" s="11" t="str">
        <x:v>ACT-020</x:v>
      </x:c>
      <x:c r="B25" s="11" t="str">
        <x:v>PER-010</x:v>
      </x:c>
      <x:c r="C25" s="11" t="str">
        <x:v>TEAM-010</x:v>
      </x:c>
      <x:c r="D25" s="11" t="str">
        <x:v>PROC-010</x:v>
      </x:c>
      <x:c r="E25" s="11" t="str">
        <x:v>Rapprocher un bordereau</x:v>
      </x:c>
      <x:c r="F25" s="11" t="str">
        <x:v>DEC-020</x:v>
      </x:c>
      <x:c r="G25" s="11" t="str">
        <x:v>Valider les écarts résiduels</x:v>
      </x:c>
      <x:c r="H25" s="11" t="str">
        <x:v>Productivité</x:v>
      </x:c>
      <x:c r="I25" s="11" t="n">
        <x:v>840</x:v>
      </x:c>
      <x:c r="J25" s="11" t="n">
        <x:v>6</x:v>
      </x:c>
      <x:c r="K25" s="11" t="n">
        <x:v>1</x:v>
      </x:c>
      <x:c r="L25" s="11" t="n">
        <x:v>2</x:v>
      </x:c>
      <x:c r="M25" s="11" t="str">
        <x:v>APP-010</x:v>
      </x:c>
      <x:c r="N25" s="11" t="str">
        <x:v>SRC-054</x:v>
      </x:c>
      <x:c r="O25" s="11" t="str">
        <x:v>SYNTHETIQUE</x:v>
      </x:c>
    </x:row>
    <x:row r="26" ht="28" customHeight="1">
      <x:c r="A26" s="10" t="str">
        <x:v>ACT-021</x:v>
      </x:c>
      <x:c r="B26" s="10" t="str">
        <x:v>PER-011</x:v>
      </x:c>
      <x:c r="C26" s="10" t="str">
        <x:v>TEAM-011</x:v>
      </x:c>
      <x:c r="D26" s="10" t="str">
        <x:v>PROC-011</x:v>
      </x:c>
      <x:c r="E26" s="10" t="str">
        <x:v>Préparer une revue de provisionnement</x:v>
      </x:c>
      <x:c r="F26" s="10" t="str">
        <x:v>DEC-021</x:v>
      </x:c>
      <x:c r="G26" s="10" t="str">
        <x:v>Valider une hypothèse actuarielle</x:v>
      </x:c>
      <x:c r="H26" s="10" t="str">
        <x:v>Stratégique</x:v>
      </x:c>
      <x:c r="I26" s="10" t="n">
        <x:v>24</x:v>
      </x:c>
      <x:c r="J26" s="10" t="n">
        <x:v>150</x:v>
      </x:c>
      <x:c r="K26" s="10" t="n">
        <x:v>2</x:v>
      </x:c>
      <x:c r="L26" s="10" t="n">
        <x:v>3</x:v>
      </x:c>
      <x:c r="M26" s="10" t="str">
        <x:v>APP-011</x:v>
      </x:c>
      <x:c r="N26" s="10" t="str">
        <x:v>SRC-058</x:v>
      </x:c>
      <x:c r="O26" s="10" t="str">
        <x:v>SYNTHETIQUE</x:v>
      </x:c>
    </x:row>
    <x:row r="27" ht="28" customHeight="1">
      <x:c r="A27" s="11" t="str">
        <x:v>ACT-022</x:v>
      </x:c>
      <x:c r="B27" s="11" t="str">
        <x:v>PER-011</x:v>
      </x:c>
      <x:c r="C27" s="11" t="str">
        <x:v>TEAM-011</x:v>
      </x:c>
      <x:c r="D27" s="11" t="str">
        <x:v>PROC-011</x:v>
      </x:c>
      <x:c r="E27" s="11" t="str">
        <x:v>Préparer le reporting prudentiel</x:v>
      </x:c>
      <x:c r="F27" s="11" t="str">
        <x:v>DEC-022</x:v>
      </x:c>
      <x:c r="G27" s="11" t="str">
        <x:v>Approuver la publication</x:v>
      </x:c>
      <x:c r="H27" s="11" t="str">
        <x:v>Sécurisation</x:v>
      </x:c>
      <x:c r="I27" s="11" t="n">
        <x:v>12</x:v>
      </x:c>
      <x:c r="J27" s="11" t="n">
        <x:v>240</x:v>
      </x:c>
      <x:c r="K27" s="11" t="n">
        <x:v>1</x:v>
      </x:c>
      <x:c r="L27" s="11" t="n">
        <x:v>2</x:v>
      </x:c>
      <x:c r="M27" s="11" t="str">
        <x:v>APP-011</x:v>
      </x:c>
      <x:c r="N27" s="11" t="str">
        <x:v>SRC-058</x:v>
      </x:c>
      <x:c r="O27" s="11" t="str">
        <x:v>SYNTHETIQUE</x:v>
      </x:c>
    </x:row>
    <x:row r="28" ht="28" customHeight="1">
      <x:c r="A28" s="10" t="str">
        <x:v>ACT-023</x:v>
      </x:c>
      <x:c r="B28" s="10" t="str">
        <x:v>PER-012</x:v>
      </x:c>
      <x:c r="C28" s="10" t="str">
        <x:v>TEAM-012</x:v>
      </x:c>
      <x:c r="D28" s="10" t="str">
        <x:v>PROC-012</x:v>
      </x:c>
      <x:c r="E28" s="10" t="str">
        <x:v>Trier les alertes de fraude</x:v>
      </x:c>
      <x:c r="F28" s="10" t="str">
        <x:v>DEC-023</x:v>
      </x:c>
      <x:c r="G28" s="10" t="str">
        <x:v>Ouvrir une investigation</x:v>
      </x:c>
      <x:c r="H28" s="10" t="str">
        <x:v>Sécurisation</x:v>
      </x:c>
      <x:c r="I28" s="10" t="n">
        <x:v>520</x:v>
      </x:c>
      <x:c r="J28" s="10" t="n">
        <x:v>20</x:v>
      </x:c>
      <x:c r="K28" s="10" t="n">
        <x:v>3</x:v>
      </x:c>
      <x:c r="L28" s="10" t="n">
        <x:v>3</x:v>
      </x:c>
      <x:c r="M28" s="10" t="str">
        <x:v>APP-012</x:v>
      </x:c>
      <x:c r="N28" s="10" t="str">
        <x:v>SRC-063</x:v>
      </x:c>
      <x:c r="O28" s="10" t="str">
        <x:v>SYNTHETIQUE</x:v>
      </x:c>
    </x:row>
    <x:row r="29" ht="28" customHeight="1">
      <x:c r="A29" s="11" t="str">
        <x:v>ACT-024</x:v>
      </x:c>
      <x:c r="B29" s="11" t="str">
        <x:v>PER-012</x:v>
      </x:c>
      <x:c r="C29" s="11" t="str">
        <x:v>TEAM-012</x:v>
      </x:c>
      <x:c r="D29" s="11" t="str">
        <x:v>PROC-012</x:v>
      </x:c>
      <x:c r="E29" s="11" t="str">
        <x:v>Contrôler un dossier de vigilance</x:v>
      </x:c>
      <x:c r="F29" s="11" t="str">
        <x:v>DEC-024</x:v>
      </x:c>
      <x:c r="G29" s="11" t="str">
        <x:v>Escalader au responsable conformité</x:v>
      </x:c>
      <x:c r="H29" s="11" t="str">
        <x:v>Sécurisation</x:v>
      </x:c>
      <x:c r="I29" s="11" t="n">
        <x:v>900</x:v>
      </x:c>
      <x:c r="J29" s="11" t="n">
        <x:v>15</x:v>
      </x:c>
      <x:c r="K29" s="11" t="n">
        <x:v>1</x:v>
      </x:c>
      <x:c r="L29" s="11" t="n">
        <x:v>2</x:v>
      </x:c>
      <x:c r="M29" s="11" t="str">
        <x:v>APP-012</x:v>
      </x:c>
      <x:c r="N29" s="11" t="str">
        <x:v>SRC-063</x:v>
      </x:c>
      <x:c r="O29" s="11" t="str">
        <x:v>SYNTHETIQUE</x:v>
      </x:c>
    </x:row>
    <x:row r="30" ht="28" customHeight="1">
      <x:c r="A30" s="10" t="str">
        <x:v>ACT-025</x:v>
      </x:c>
      <x:c r="B30" s="10" t="str">
        <x:v>PER-013</x:v>
      </x:c>
      <x:c r="C30" s="10" t="str">
        <x:v>TEAM-013</x:v>
      </x:c>
      <x:c r="D30" s="10" t="str">
        <x:v>PROC-013</x:v>
      </x:c>
      <x:c r="E30" s="10" t="str">
        <x:v>Répondre à une question de garantie</x:v>
      </x:c>
      <x:c r="F30" s="10" t="str">
        <x:v>DEC-025</x:v>
      </x:c>
      <x:c r="G30" s="10" t="str">
        <x:v>Valider la réponse au client</x:v>
      </x:c>
      <x:c r="H30" s="10" t="str">
        <x:v>Produit</x:v>
      </x:c>
      <x:c r="I30" s="10" t="n">
        <x:v>12600</x:v>
      </x:c>
      <x:c r="J30" s="10" t="n">
        <x:v>7</x:v>
      </x:c>
      <x:c r="K30" s="10" t="n">
        <x:v>2</x:v>
      </x:c>
      <x:c r="L30" s="10" t="n">
        <x:v>2</x:v>
      </x:c>
      <x:c r="M30" s="10" t="str">
        <x:v>APP-013</x:v>
      </x:c>
      <x:c r="N30" s="10" t="str">
        <x:v>SRC-068</x:v>
      </x:c>
      <x:c r="O30" s="10" t="str">
        <x:v>SYNTHETIQUE</x:v>
      </x:c>
    </x:row>
    <x:row r="31" ht="28" customHeight="1">
      <x:c r="A31" s="11" t="str">
        <x:v>ACT-026</x:v>
      </x:c>
      <x:c r="B31" s="11" t="str">
        <x:v>PER-013</x:v>
      </x:c>
      <x:c r="C31" s="11" t="str">
        <x:v>TEAM-013</x:v>
      </x:c>
      <x:c r="D31" s="11" t="str">
        <x:v>PROC-013</x:v>
      </x:c>
      <x:c r="E31" s="11" t="str">
        <x:v>Analyser une réclamation</x:v>
      </x:c>
      <x:c r="F31" s="11" t="str">
        <x:v>DEC-026</x:v>
      </x:c>
      <x:c r="G31" s="11" t="str">
        <x:v>Décider une réponse ou une réparation</x:v>
      </x:c>
      <x:c r="H31" s="11" t="str">
        <x:v>Sécurisation</x:v>
      </x:c>
      <x:c r="I31" s="11" t="n">
        <x:v>360</x:v>
      </x:c>
      <x:c r="J31" s="11" t="n">
        <x:v>35</x:v>
      </x:c>
      <x:c r="K31" s="11" t="n">
        <x:v>1</x:v>
      </x:c>
      <x:c r="L31" s="11" t="n">
        <x:v>3</x:v>
      </x:c>
      <x:c r="M31" s="11" t="str">
        <x:v>APP-013</x:v>
      </x:c>
      <x:c r="N31" s="11" t="str">
        <x:v>SRC-068</x:v>
      </x:c>
      <x:c r="O31" s="11" t="str">
        <x:v>SYNTHETIQUE</x:v>
      </x:c>
    </x:row>
    <x:row r="32" ht="28" customHeight="1">
      <x:c r="A32" s="10" t="str">
        <x:v>ACT-027</x:v>
      </x:c>
      <x:c r="B32" s="10" t="str">
        <x:v>PER-014</x:v>
      </x:c>
      <x:c r="C32" s="10" t="str">
        <x:v>TEAM-014</x:v>
      </x:c>
      <x:c r="D32" s="10" t="str">
        <x:v>PROC-014</x:v>
      </x:c>
      <x:c r="E32" s="10" t="str">
        <x:v>Rapprocher dépenses et licences</x:v>
      </x:c>
      <x:c r="F32" s="10" t="str">
        <x:v>DEC-027</x:v>
      </x:c>
      <x:c r="G32" s="10" t="str">
        <x:v>Valider une imputation de coût</x:v>
      </x:c>
      <x:c r="H32" s="10" t="str">
        <x:v>Productivité</x:v>
      </x:c>
      <x:c r="I32" s="10" t="n">
        <x:v>800</x:v>
      </x:c>
      <x:c r="J32" s="10" t="n">
        <x:v>8</x:v>
      </x:c>
      <x:c r="K32" s="10" t="n">
        <x:v>1</x:v>
      </x:c>
      <x:c r="L32" s="10" t="n">
        <x:v>2</x:v>
      </x:c>
      <x:c r="M32" s="10" t="str">
        <x:v>APP-014</x:v>
      </x:c>
      <x:c r="N32" s="10" t="str">
        <x:v>SRC-074</x:v>
      </x:c>
      <x:c r="O32" s="10" t="str">
        <x:v>SYNTHETIQUE</x:v>
      </x:c>
    </x:row>
    <x:row r="33" ht="28" customHeight="1">
      <x:c r="A33" s="11" t="str">
        <x:v>ACT-028</x:v>
      </x:c>
      <x:c r="B33" s="11" t="str">
        <x:v>PER-014</x:v>
      </x:c>
      <x:c r="C33" s="11" t="str">
        <x:v>TEAM-014</x:v>
      </x:c>
      <x:c r="D33" s="11" t="str">
        <x:v>PROC-014</x:v>
      </x:c>
      <x:c r="E33" s="11" t="str">
        <x:v>Mesurer les bénéfices des IA</x:v>
      </x:c>
      <x:c r="F33" s="11" t="str">
        <x:v>DEC-028</x:v>
      </x:c>
      <x:c r="G33" s="11" t="str">
        <x:v>Reconnaître un bénéfice démontré</x:v>
      </x:c>
      <x:c r="H33" s="11" t="str">
        <x:v>Stratégique</x:v>
      </x:c>
      <x:c r="I33" s="11" t="n">
        <x:v>16</x:v>
      </x:c>
      <x:c r="J33" s="11" t="n">
        <x:v>90</x:v>
      </x:c>
      <x:c r="K33" s="11" t="n">
        <x:v>1</x:v>
      </x:c>
      <x:c r="L33" s="11" t="n">
        <x:v>2</x:v>
      </x:c>
      <x:c r="M33" s="11" t="str">
        <x:v>APP-014</x:v>
      </x:c>
      <x:c r="N33" s="11" t="str">
        <x:v>SRC-074</x:v>
      </x:c>
      <x:c r="O33" s="11" t="str">
        <x:v>SYNTHETIQUE</x:v>
      </x:c>
    </x:row>
    <x:row r="34" ht="28" customHeight="1">
      <x:c r="A34" s="10" t="str">
        <x:v>ACT-029</x:v>
      </x:c>
      <x:c r="B34" s="10" t="str">
        <x:v>PER-015</x:v>
      </x:c>
      <x:c r="C34" s="10" t="str">
        <x:v>TEAM-015</x:v>
      </x:c>
      <x:c r="D34" s="10" t="str">
        <x:v>PROC-015</x:v>
      </x:c>
      <x:c r="E34" s="10" t="str">
        <x:v>Préparer une formation IA</x:v>
      </x:c>
      <x:c r="F34" s="10" t="str">
        <x:v>DEC-029</x:v>
      </x:c>
      <x:c r="G34" s="10" t="str">
        <x:v>Valider le parcours par population</x:v>
      </x:c>
      <x:c r="H34" s="10" t="str">
        <x:v>Productivité</x:v>
      </x:c>
      <x:c r="I34" s="10" t="n">
        <x:v>30</x:v>
      </x:c>
      <x:c r="J34" s="10" t="n">
        <x:v>90</x:v>
      </x:c>
      <x:c r="K34" s="10" t="n">
        <x:v>1</x:v>
      </x:c>
      <x:c r="L34" s="10" t="n">
        <x:v>2</x:v>
      </x:c>
      <x:c r="M34" s="10" t="str">
        <x:v>APP-015</x:v>
      </x:c>
      <x:c r="N34" s="10" t="str">
        <x:v>SRC-080</x:v>
      </x:c>
      <x:c r="O34" s="10" t="str">
        <x:v>SYNTHETIQUE</x:v>
      </x:c>
    </x:row>
    <x:row r="35" ht="28" customHeight="1">
      <x:c r="A35" s="11" t="str">
        <x:v>ACT-030</x:v>
      </x:c>
      <x:c r="B35" s="11" t="str">
        <x:v>PER-015</x:v>
      </x:c>
      <x:c r="C35" s="11" t="str">
        <x:v>TEAM-015</x:v>
      </x:c>
      <x:c r="D35" s="11" t="str">
        <x:v>PROC-015</x:v>
      </x:c>
      <x:c r="E35" s="11" t="str">
        <x:v>Évaluer la vérification des réponses</x:v>
      </x:c>
      <x:c r="F35" s="11" t="str">
        <x:v>DEC-030</x:v>
      </x:c>
      <x:c r="G35" s="11" t="str">
        <x:v>Définir un accompagnement collectif</x:v>
      </x:c>
      <x:c r="H35" s="11" t="str">
        <x:v>Sécurisation</x:v>
      </x:c>
      <x:c r="I35" s="11" t="n">
        <x:v>42</x:v>
      </x:c>
      <x:c r="J35" s="11" t="n">
        <x:v>20</x:v>
      </x:c>
      <x:c r="K35" s="11" t="n">
        <x:v>1</x:v>
      </x:c>
      <x:c r="L35" s="11" t="n">
        <x:v>2</x:v>
      </x:c>
      <x:c r="M35" s="11" t="str">
        <x:v>APP-015</x:v>
      </x:c>
      <x:c r="N35" s="11" t="str">
        <x:v>SRC-080</x:v>
      </x:c>
      <x:c r="O35" s="11" t="str">
        <x:v>SYNTHETIQUE</x:v>
      </x:c>
    </x:row>
    <x:row r="36" ht="28" customHeight="1">
      <x:c r="A36" s="10" t="str">
        <x:v>ACT-031</x:v>
      </x:c>
      <x:c r="B36" s="10" t="str">
        <x:v>PER-016</x:v>
      </x:c>
      <x:c r="C36" s="10" t="str">
        <x:v>TEAM-016</x:v>
      </x:c>
      <x:c r="D36" s="10" t="str">
        <x:v>PROC-016</x:v>
      </x:c>
      <x:c r="E36" s="10" t="str">
        <x:v>Qualifier un ticket informatique</x:v>
      </x:c>
      <x:c r="F36" s="10" t="str">
        <x:v>DEC-031</x:v>
      </x:c>
      <x:c r="G36" s="10" t="str">
        <x:v>Choisir une équipe de résolution</x:v>
      </x:c>
      <x:c r="H36" s="10" t="str">
        <x:v>Productivité</x:v>
      </x:c>
      <x:c r="I36" s="10" t="n">
        <x:v>1800</x:v>
      </x:c>
      <x:c r="J36" s="10" t="n">
        <x:v>8</x:v>
      </x:c>
      <x:c r="K36" s="10" t="n">
        <x:v>2</x:v>
      </x:c>
      <x:c r="L36" s="10" t="n">
        <x:v>3</x:v>
      </x:c>
      <x:c r="M36" s="10" t="str">
        <x:v>APP-016</x:v>
      </x:c>
      <x:c r="N36" s="10" t="str">
        <x:v>SRC-085</x:v>
      </x:c>
      <x:c r="O36" s="10" t="str">
        <x:v>SYNTHETIQUE</x:v>
      </x:c>
    </x:row>
    <x:row r="37" ht="28" customHeight="1">
      <x:c r="A37" s="11" t="str">
        <x:v>ACT-032</x:v>
      </x:c>
      <x:c r="B37" s="11" t="str">
        <x:v>PER-016</x:v>
      </x:c>
      <x:c r="C37" s="11" t="str">
        <x:v>TEAM-016</x:v>
      </x:c>
      <x:c r="D37" s="11" t="str">
        <x:v>PROC-016</x:v>
      </x:c>
      <x:c r="E37" s="11" t="str">
        <x:v>Revoir une habilitation technique</x:v>
      </x:c>
      <x:c r="F37" s="11" t="str">
        <x:v>DEC-032</x:v>
      </x:c>
      <x:c r="G37" s="11" t="str">
        <x:v>Accorder ou retirer un scope</x:v>
      </x:c>
      <x:c r="H37" s="11" t="str">
        <x:v>Sécurisation</x:v>
      </x:c>
      <x:c r="I37" s="11" t="n">
        <x:v>120</x:v>
      </x:c>
      <x:c r="J37" s="11" t="n">
        <x:v>20</x:v>
      </x:c>
      <x:c r="K37" s="11" t="n">
        <x:v>1</x:v>
      </x:c>
      <x:c r="L37" s="11" t="n">
        <x:v>3</x:v>
      </x:c>
      <x:c r="M37" s="11" t="str">
        <x:v>APP-016</x:v>
      </x:c>
      <x:c r="N37" s="11" t="str">
        <x:v>SRC-085</x:v>
      </x:c>
      <x:c r="O37" s="11" t="str">
        <x:v>SYNTHETIQUE</x:v>
      </x:c>
    </x:row>
    <x:row r="38" ht="28" customHeight="1">
      <x:c r="A38" s="10" t="str">
        <x:v>ACT-033</x:v>
      </x:c>
      <x:c r="B38" s="10" t="str">
        <x:v>PER-017</x:v>
      </x:c>
      <x:c r="C38" s="10" t="str">
        <x:v>TEAM-017</x:v>
      </x:c>
      <x:c r="D38" s="10" t="str">
        <x:v>PROC-017</x:v>
      </x:c>
      <x:c r="E38" s="10" t="str">
        <x:v>Documenter un jeu de données</x:v>
      </x:c>
      <x:c r="F38" s="10" t="str">
        <x:v>DEC-033</x:v>
      </x:c>
      <x:c r="G38" s="10" t="str">
        <x:v>Valider sa définition et son propriétaire</x:v>
      </x:c>
      <x:c r="H38" s="10" t="str">
        <x:v>Productivité</x:v>
      </x:c>
      <x:c r="I38" s="10" t="n">
        <x:v>80</x:v>
      </x:c>
      <x:c r="J38" s="10" t="n">
        <x:v>30</x:v>
      </x:c>
      <x:c r="K38" s="10" t="n">
        <x:v>2</x:v>
      </x:c>
      <x:c r="L38" s="10" t="n">
        <x:v>2</x:v>
      </x:c>
      <x:c r="M38" s="10" t="str">
        <x:v>APP-017</x:v>
      </x:c>
      <x:c r="N38" s="10" t="str">
        <x:v>SRC-092</x:v>
      </x:c>
      <x:c r="O38" s="10" t="str">
        <x:v>SYNTHETIQUE</x:v>
      </x:c>
    </x:row>
    <x:row r="39" ht="28" customHeight="1">
      <x:c r="A39" s="11" t="str">
        <x:v>ACT-034</x:v>
      </x:c>
      <x:c r="B39" s="11" t="str">
        <x:v>PER-017</x:v>
      </x:c>
      <x:c r="C39" s="11" t="str">
        <x:v>TEAM-017</x:v>
      </x:c>
      <x:c r="D39" s="11" t="str">
        <x:v>PROC-017</x:v>
      </x:c>
      <x:c r="E39" s="11" t="str">
        <x:v>Analyser une anomalie de qualité</x:v>
      </x:c>
      <x:c r="F39" s="11" t="str">
        <x:v>DEC-034</x:v>
      </x:c>
      <x:c r="G39" s="11" t="str">
        <x:v>Prioriser sa correction</x:v>
      </x:c>
      <x:c r="H39" s="11" t="str">
        <x:v>Sécurisation</x:v>
      </x:c>
      <x:c r="I39" s="11" t="n">
        <x:v>150</x:v>
      </x:c>
      <x:c r="J39" s="11" t="n">
        <x:v>20</x:v>
      </x:c>
      <x:c r="K39" s="11" t="n">
        <x:v>1</x:v>
      </x:c>
      <x:c r="L39" s="11" t="n">
        <x:v>3</x:v>
      </x:c>
      <x:c r="M39" s="11" t="str">
        <x:v>APP-017</x:v>
      </x:c>
      <x:c r="N39" s="11" t="str">
        <x:v>SRC-092</x:v>
      </x:c>
      <x:c r="O39" s="11" t="str">
        <x:v>SYNTHETIQUE</x:v>
      </x:c>
    </x:row>
    <x:row r="40" ht="28" customHeight="1">
      <x:c r="A40" s="10" t="str">
        <x:v>ACT-035</x:v>
      </x:c>
      <x:c r="B40" s="10" t="str">
        <x:v>PER-018</x:v>
      </x:c>
      <x:c r="C40" s="10" t="str">
        <x:v>TEAM-018</x:v>
      </x:c>
      <x:c r="D40" s="10" t="str">
        <x:v>PROC-018</x:v>
      </x:c>
      <x:c r="E40" s="10" t="str">
        <x:v>Évaluer une nouvelle version IA</x:v>
      </x:c>
      <x:c r="F40" s="10" t="str">
        <x:v>DEC-035</x:v>
      </x:c>
      <x:c r="G40" s="10" t="str">
        <x:v>Autoriser sa mise en service</x:v>
      </x:c>
      <x:c r="H40" s="10" t="str">
        <x:v>Sécurisation</x:v>
      </x:c>
      <x:c r="I40" s="10" t="n">
        <x:v>16</x:v>
      </x:c>
      <x:c r="J40" s="10" t="n">
        <x:v>120</x:v>
      </x:c>
      <x:c r="K40" s="10" t="n">
        <x:v>1</x:v>
      </x:c>
      <x:c r="L40" s="10" t="n">
        <x:v>3</x:v>
      </x:c>
      <x:c r="M40" s="10" t="str">
        <x:v>APP-018</x:v>
      </x:c>
      <x:c r="N40" s="10" t="str">
        <x:v>SRC-098</x:v>
      </x:c>
      <x:c r="O40" s="10" t="str">
        <x:v>SYNTHETIQUE</x:v>
      </x:c>
    </x:row>
    <x:row r="41" ht="28" customHeight="1">
      <x:c r="A41" s="11" t="str">
        <x:v>ACT-036</x:v>
      </x:c>
      <x:c r="B41" s="11" t="str">
        <x:v>PER-018</x:v>
      </x:c>
      <x:c r="C41" s="11" t="str">
        <x:v>TEAM-018</x:v>
      </x:c>
      <x:c r="D41" s="11" t="str">
        <x:v>PROC-018</x:v>
      </x:c>
      <x:c r="E41" s="11" t="str">
        <x:v>Examiner les usages et doublons IA</x:v>
      </x:c>
      <x:c r="F41" s="11" t="str">
        <x:v>DEC-036</x:v>
      </x:c>
      <x:c r="G41" s="11" t="str">
        <x:v>Lancer une analyse de recouvrement</x:v>
      </x:c>
      <x:c r="H41" s="11" t="str">
        <x:v>Stratégique</x:v>
      </x:c>
      <x:c r="I41" s="11" t="n">
        <x:v>16</x:v>
      </x:c>
      <x:c r="J41" s="11" t="n">
        <x:v>60</x:v>
      </x:c>
      <x:c r="K41" s="11" t="n">
        <x:v>1</x:v>
      </x:c>
      <x:c r="L41" s="11" t="n">
        <x:v>3</x:v>
      </x:c>
      <x:c r="M41" s="11" t="str">
        <x:v>APP-018</x:v>
      </x:c>
      <x:c r="N41" s="11" t="str">
        <x:v>SRC-098</x:v>
      </x:c>
      <x:c r="O41" s="11" t="str">
        <x:v>SYNTHETIQUE</x:v>
      </x:c>
    </x:row>
    <x:row r="42" ht="28" customHeight="1">
      <x:c r="A42" s="10" t="str">
        <x:v>ACT-037</x:v>
      </x:c>
      <x:c r="B42" s="10" t="str">
        <x:v>PER-019</x:v>
      </x:c>
      <x:c r="C42" s="10" t="str">
        <x:v>TEAM-019</x:v>
      </x:c>
      <x:c r="D42" s="10" t="str">
        <x:v>PROC-019</x:v>
      </x:c>
      <x:c r="E42" s="10" t="str">
        <x:v>Préparer une revue de contrôle IA</x:v>
      </x:c>
      <x:c r="F42" s="10" t="str">
        <x:v>DEC-037</x:v>
      </x:c>
      <x:c r="G42" s="10" t="str">
        <x:v>Accepter un contrôle démontré</x:v>
      </x:c>
      <x:c r="H42" s="10" t="str">
        <x:v>Sécurisation</x:v>
      </x:c>
      <x:c r="I42" s="10" t="n">
        <x:v>16</x:v>
      </x:c>
      <x:c r="J42" s="10" t="n">
        <x:v>120</x:v>
      </x:c>
      <x:c r="K42" s="10" t="n">
        <x:v>1</x:v>
      </x:c>
      <x:c r="L42" s="10" t="n">
        <x:v>3</x:v>
      </x:c>
      <x:c r="M42" s="10" t="str">
        <x:v>APP-019</x:v>
      </x:c>
      <x:c r="N42" s="10" t="str">
        <x:v>SRC-106</x:v>
      </x:c>
      <x:c r="O42" s="10" t="str">
        <x:v>SYNTHETIQUE</x:v>
      </x:c>
    </x:row>
    <x:row r="43" ht="28" customHeight="1">
      <x:c r="A43" s="11" t="str">
        <x:v>ACT-038</x:v>
      </x:c>
      <x:c r="B43" s="11" t="str">
        <x:v>PER-019</x:v>
      </x:c>
      <x:c r="C43" s="11" t="str">
        <x:v>TEAM-019</x:v>
      </x:c>
      <x:c r="D43" s="11" t="str">
        <x:v>PROC-019</x:v>
      </x:c>
      <x:c r="E43" s="11" t="str">
        <x:v>Qualifier une dépendance fournisseur</x:v>
      </x:c>
      <x:c r="F43" s="11" t="str">
        <x:v>DEC-038</x:v>
      </x:c>
      <x:c r="G43" s="11" t="str">
        <x:v>Autoriser un usage selon ses conditions</x:v>
      </x:c>
      <x:c r="H43" s="11" t="str">
        <x:v>Sécurisation</x:v>
      </x:c>
      <x:c r="I43" s="11" t="n">
        <x:v>24</x:v>
      </x:c>
      <x:c r="J43" s="11" t="n">
        <x:v>45</x:v>
      </x:c>
      <x:c r="K43" s="11" t="n">
        <x:v>1</x:v>
      </x:c>
      <x:c r="L43" s="11" t="n">
        <x:v>3</x:v>
      </x:c>
      <x:c r="M43" s="11" t="str">
        <x:v>APP-019</x:v>
      </x:c>
      <x:c r="N43" s="11" t="str">
        <x:v>SRC-106</x:v>
      </x:c>
      <x:c r="O43" s="11" t="str">
        <x:v>SYNTHETIQUE</x:v>
      </x:c>
    </x:row>
    <x:row r="44" ht="28" customHeight="1">
      <x:c r="A44" s="10" t="str">
        <x:v>ACT-039</x:v>
      </x:c>
      <x:c r="B44" s="10" t="str">
        <x:v>PER-020</x:v>
      </x:c>
      <x:c r="C44" s="10" t="str">
        <x:v>TEAM-020</x:v>
      </x:c>
      <x:c r="D44" s="10" t="str">
        <x:v>PROC-020</x:v>
      </x:c>
      <x:c r="E44" s="10" t="str">
        <x:v>Rédiger une synthèse de réunion</x:v>
      </x:c>
      <x:c r="F44" s="10" t="str">
        <x:v>DEC-039</x:v>
      </x:c>
      <x:c r="G44" s="10" t="str">
        <x:v>Valider son contenu avant partage</x:v>
      </x:c>
      <x:c r="H44" s="10" t="str">
        <x:v>Confort</x:v>
      </x:c>
      <x:c r="I44" s="10" t="n">
        <x:v>800</x:v>
      </x:c>
      <x:c r="J44" s="10" t="n">
        <x:v>30</x:v>
      </x:c>
      <x:c r="K44" s="10" t="n">
        <x:v>2</x:v>
      </x:c>
      <x:c r="L44" s="10" t="n">
        <x:v>2</x:v>
      </x:c>
      <x:c r="M44" s="10" t="str">
        <x:v>APP-020</x:v>
      </x:c>
      <x:c r="N44" s="10" t="str">
        <x:v>SRC-112</x:v>
      </x:c>
      <x:c r="O44" s="10" t="str">
        <x:v>SYNTHETIQUE</x:v>
      </x:c>
    </x:row>
    <x:row r="45" ht="28" customHeight="1">
      <x:c r="A45" s="11" t="str">
        <x:v>ACT-040</x:v>
      </x:c>
      <x:c r="B45" s="11" t="str">
        <x:v>PER-020</x:v>
      </x:c>
      <x:c r="C45" s="11" t="str">
        <x:v>TEAM-020</x:v>
      </x:c>
      <x:c r="D45" s="11" t="str">
        <x:v>PROC-020</x:v>
      </x:c>
      <x:c r="E45" s="11" t="str">
        <x:v>Formaliser une pratique experte</x:v>
      </x:c>
      <x:c r="F45" s="11" t="str">
        <x:v>DEC-040</x:v>
      </x:c>
      <x:c r="G45" s="11" t="str">
        <x:v>Valider une règle réutilisable</x:v>
      </x:c>
      <x:c r="H45" s="11" t="str">
        <x:v>Stratégique</x:v>
      </x:c>
      <x:c r="I45" s="11" t="n">
        <x:v>20</x:v>
      </x:c>
      <x:c r="J45" s="11" t="n">
        <x:v>90</x:v>
      </x:c>
      <x:c r="K45" s="11" t="n">
        <x:v>1</x:v>
      </x:c>
      <x:c r="L45" s="11" t="n">
        <x:v>2</x:v>
      </x:c>
      <x:c r="M45" s="11" t="str">
        <x:v>APP-020</x:v>
      </x:c>
      <x:c r="N45" s="11" t="str">
        <x:v>SRC-112</x:v>
      </x:c>
      <x:c r="O45" s="11" t="str">
        <x:v>SYNTHETIQUE</x:v>
      </x:c>
    </x:row>
  </x:sheetData>
  <x:pageMargins left="0.7" right="0.7" top="0.75" bottom="0.75" header="0.3" footer="0.3"/>
  <x:tableParts count="1">
    <x:tablePart xmlns:r="http://schemas.openxmlformats.org/officeDocument/2006/relationships" r:id="R41fc640eb39645d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55" hidden="0" customWidth="1"/>
    <x:col min="4" max="4" width="18" hidden="0" customWidth="1"/>
    <x:col min="5" max="5" width="65" hidden="0" customWidth="1"/>
    <x:col min="6" max="6" width="17" hidden="0" customWidth="1"/>
    <x:col min="7" max="7" width="16" hidden="0" customWidth="1"/>
    <x:col min="8" max="8" width="17" hidden="0" customWidth="1"/>
    <x:col min="9" max="9" width="2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Décisions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" t="str">
        <x:v>DONNÉES SYNTHÉTIQUES — Assureur Démo France — août 2026 / état au 20 septembre 2026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42" customHeight="1">
      <x:c r="A5" s="8" t="str">
        <x:v>decision_id</x:v>
      </x:c>
      <x:c r="B5" s="8" t="str">
        <x:v>activity_id</x:v>
      </x:c>
      <x:c r="C5" s="8" t="str">
        <x:v>Décision</x:v>
      </x:c>
      <x:c r="D5" s="8" t="str">
        <x:v>Responsable</x:v>
      </x:c>
      <x:c r="E5" s="8" t="str">
        <x:v>Règle</x:v>
      </x:c>
      <x:c r="F5" s="8" t="str">
        <x:v>Seuil</x:v>
      </x:c>
      <x:c r="G5" s="8" t="str">
        <x:v>Unité</x:v>
      </x:c>
      <x:c r="H5" s="8" t="str">
        <x:v>source_id</x:v>
      </x:c>
      <x:c r="I5" s="8" t="str">
        <x:v>Nature</x:v>
      </x:c>
    </x:row>
    <x:row r="6" ht="28" customHeight="1">
      <x:c r="A6" s="10" t="str">
        <x:v>DEC-001</x:v>
      </x:c>
      <x:c r="B6" s="10" t="str">
        <x:v>ACT-001</x:v>
      </x:c>
      <x:c r="C6" s="10" t="str">
        <x:v>Affecter le budget aux projets</x:v>
      </x:c>
      <x:c r="D6" s="10" t="str">
        <x:v>PER-001</x:v>
      </x:c>
      <x:c r="E6" s="10" t="str">
        <x:v>Validation du rôle responsable</x:v>
      </x:c>
      <x:c r="F6" s="10"/>
      <x:c r="G6" s="10" t="str"/>
      <x:c r="H6" s="10" t="str">
        <x:v>SRC-005</x:v>
      </x:c>
      <x:c r="I6" s="10" t="str">
        <x:v>SYNTHETIQUE</x:v>
      </x:c>
    </x:row>
    <x:row r="7" ht="28" customHeight="1">
      <x:c r="A7" s="11" t="str">
        <x:v>DEC-002</x:v>
      </x:c>
      <x:c r="B7" s="11" t="str">
        <x:v>ACT-002</x:v>
      </x:c>
      <x:c r="C7" s="11" t="str">
        <x:v>Valider un jalon de déploiement</x:v>
      </x:c>
      <x:c r="D7" s="11" t="str">
        <x:v>PER-001</x:v>
      </x:c>
      <x:c r="E7" s="11" t="str">
        <x:v>Validation du rôle responsable</x:v>
      </x:c>
      <x:c r="F7" s="11"/>
      <x:c r="G7" s="11" t="str"/>
      <x:c r="H7" s="11" t="str">
        <x:v>SRC-005</x:v>
      </x:c>
      <x:c r="I7" s="11" t="str">
        <x:v>SYNTHETIQUE</x:v>
      </x:c>
    </x:row>
    <x:row r="8" ht="28" customHeight="1">
      <x:c r="A8" s="10" t="str">
        <x:v>DEC-003</x:v>
      </x:c>
      <x:c r="B8" s="10" t="str">
        <x:v>ACT-003</x:v>
      </x:c>
      <x:c r="C8" s="10" t="str">
        <x:v>Confirmer la clause applicable</x:v>
      </x:c>
      <x:c r="D8" s="10" t="str">
        <x:v>PER-002</x:v>
      </x:c>
      <x:c r="E8" s="10" t="str">
        <x:v>Validation du rôle responsable</x:v>
      </x:c>
      <x:c r="F8" s="10"/>
      <x:c r="G8" s="10" t="str"/>
      <x:c r="H8" s="10" t="str">
        <x:v>SRC-005</x:v>
      </x:c>
      <x:c r="I8" s="10" t="str">
        <x:v>SYNTHETIQUE</x:v>
      </x:c>
    </x:row>
    <x:row r="9" ht="28" customHeight="1">
      <x:c r="A9" s="11" t="str">
        <x:v>DEC-004</x:v>
      </x:c>
      <x:c r="B9" s="11" t="str">
        <x:v>ACT-004</x:v>
      </x:c>
      <x:c r="C9" s="11" t="str">
        <x:v>Autoriser une nouvelle version</x:v>
      </x:c>
      <x:c r="D9" s="11" t="str">
        <x:v>PER-002</x:v>
      </x:c>
      <x:c r="E9" s="11" t="str">
        <x:v>Validation du rôle responsable</x:v>
      </x:c>
      <x:c r="F9" s="11"/>
      <x:c r="G9" s="11" t="str"/>
      <x:c r="H9" s="11" t="str">
        <x:v>SRC-005</x:v>
      </x:c>
      <x:c r="I9" s="11" t="str">
        <x:v>SYNTHETIQUE</x:v>
      </x:c>
    </x:row>
    <x:row r="10" ht="28" customHeight="1">
      <x:c r="A10" s="10" t="str">
        <x:v>DEC-005</x:v>
      </x:c>
      <x:c r="B10" s="10" t="str">
        <x:v>ACT-005</x:v>
      </x:c>
      <x:c r="C10" s="10" t="str">
        <x:v>Choisir les sujets à proposer</x:v>
      </x:c>
      <x:c r="D10" s="10" t="str">
        <x:v>PER-003</x:v>
      </x:c>
      <x:c r="E10" s="10" t="str">
        <x:v>Validation du rôle responsable</x:v>
      </x:c>
      <x:c r="F10" s="10"/>
      <x:c r="G10" s="10" t="str"/>
      <x:c r="H10" s="10" t="str">
        <x:v>SRC-005</x:v>
      </x:c>
      <x:c r="I10" s="10" t="str">
        <x:v>SYNTHETIQUE</x:v>
      </x:c>
    </x:row>
    <x:row r="11" ht="28" customHeight="1">
      <x:c r="A11" s="11" t="str">
        <x:v>DEC-006</x:v>
      </x:c>
      <x:c r="B11" s="11" t="str">
        <x:v>ACT-006</x:v>
      </x:c>
      <x:c r="C11" s="11" t="str">
        <x:v>Valider les engagements de l’offre</x:v>
      </x:c>
      <x:c r="D11" s="11" t="str">
        <x:v>PER-003</x:v>
      </x:c>
      <x:c r="E11" s="11" t="str">
        <x:v>Validation du rôle responsable</x:v>
      </x:c>
      <x:c r="F11" s="11"/>
      <x:c r="G11" s="11" t="str"/>
      <x:c r="H11" s="11" t="str">
        <x:v>SRC-005</x:v>
      </x:c>
      <x:c r="I11" s="11" t="str">
        <x:v>SYNTHETIQUE</x:v>
      </x:c>
    </x:row>
    <x:row r="12" ht="28" customHeight="1">
      <x:c r="A12" s="10" t="str">
        <x:v>DEC-007</x:v>
      </x:c>
      <x:c r="B12" s="10" t="str">
        <x:v>ACT-007</x:v>
      </x:c>
      <x:c r="C12" s="10" t="str">
        <x:v>Déclarer le dossier complet</x:v>
      </x:c>
      <x:c r="D12" s="10" t="str">
        <x:v>PER-004</x:v>
      </x:c>
      <x:c r="E12" s="10" t="str">
        <x:v>Validation du rôle responsable</x:v>
      </x:c>
      <x:c r="F12" s="10"/>
      <x:c r="G12" s="10" t="str"/>
      <x:c r="H12" s="10" t="str">
        <x:v>SRC-005</x:v>
      </x:c>
      <x:c r="I12" s="10" t="str">
        <x:v>SYNTHETIQUE</x:v>
      </x:c>
    </x:row>
    <x:row r="13" ht="28" customHeight="1">
      <x:c r="A13" s="11" t="str">
        <x:v>DEC-008</x:v>
      </x:c>
      <x:c r="B13" s="11" t="str">
        <x:v>ACT-008</x:v>
      </x:c>
      <x:c r="C13" s="11" t="str">
        <x:v>Accorder ou refuser la dérogation</x:v>
      </x:c>
      <x:c r="D13" s="11" t="str">
        <x:v>PER-004</x:v>
      </x:c>
      <x:c r="E13" s="11" t="str">
        <x:v>Validation du rôle responsable</x:v>
      </x:c>
      <x:c r="F13" s="11"/>
      <x:c r="G13" s="11" t="str"/>
      <x:c r="H13" s="11" t="str">
        <x:v>SRC-005</x:v>
      </x:c>
      <x:c r="I13" s="11" t="str">
        <x:v>SYNTHETIQUE</x:v>
      </x:c>
    </x:row>
    <x:row r="14" ht="28" customHeight="1">
      <x:c r="A14" s="10" t="str">
        <x:v>DEC-009</x:v>
      </x:c>
      <x:c r="B14" s="10" t="str">
        <x:v>ACT-009</x:v>
      </x:c>
      <x:c r="C14" s="10" t="str">
        <x:v>Valider la modification de garantie</x:v>
      </x:c>
      <x:c r="D14" s="10" t="str">
        <x:v>PER-005</x:v>
      </x:c>
      <x:c r="E14" s="10" t="str">
        <x:v>Validation du rôle responsable</x:v>
      </x:c>
      <x:c r="F14" s="10"/>
      <x:c r="G14" s="10" t="str"/>
      <x:c r="H14" s="10" t="str">
        <x:v>SRC-005</x:v>
      </x:c>
      <x:c r="I14" s="10" t="str">
        <x:v>SYNTHETIQUE</x:v>
      </x:c>
    </x:row>
    <x:row r="15" ht="28" customHeight="1">
      <x:c r="A15" s="11" t="str">
        <x:v>DEC-010</x:v>
      </x:c>
      <x:c r="B15" s="11" t="str">
        <x:v>ACT-010</x:v>
      </x:c>
      <x:c r="C15" s="11" t="str">
        <x:v>Autoriser émission du contrat</x:v>
      </x:c>
      <x:c r="D15" s="11" t="str">
        <x:v>PER-005</x:v>
      </x:c>
      <x:c r="E15" s="11" t="str">
        <x:v>Validation du rôle responsable</x:v>
      </x:c>
      <x:c r="F15" s="11"/>
      <x:c r="G15" s="11" t="str"/>
      <x:c r="H15" s="11" t="str">
        <x:v>SRC-005</x:v>
      </x:c>
      <x:c r="I15" s="11" t="str">
        <x:v>SYNTHETIQUE</x:v>
      </x:c>
    </x:row>
    <x:row r="16" ht="28" customHeight="1">
      <x:c r="A16" s="10" t="str">
        <x:v>DEC-011</x:v>
      </x:c>
      <x:c r="B16" s="10" t="str">
        <x:v>ACT-011</x:v>
      </x:c>
      <x:c r="C16" s="10" t="str">
        <x:v>Recommander la suite du dossier</x:v>
      </x:c>
      <x:c r="D16" s="10" t="str">
        <x:v>PER-006</x:v>
      </x:c>
      <x:c r="E16" s="10" t="str">
        <x:v>Validation du rôle responsable</x:v>
      </x:c>
      <x:c r="F16" s="10"/>
      <x:c r="G16" s="10" t="str"/>
      <x:c r="H16" s="10" t="str">
        <x:v>SRC-005</x:v>
      </x:c>
      <x:c r="I16" s="10" t="str">
        <x:v>SYNTHETIQUE</x:v>
      </x:c>
    </x:row>
    <x:row r="17" ht="28" customHeight="1">
      <x:c r="A17" s="11" t="str">
        <x:v>DEC-012</x:v>
      </x:c>
      <x:c r="B17" s="11" t="str">
        <x:v>ACT-012</x:v>
      </x:c>
      <x:c r="C17" s="11" t="str">
        <x:v>Autoriser le règlement du sinistre</x:v>
      </x:c>
      <x:c r="D17" s="11" t="str">
        <x:v>PER-006</x:v>
      </x:c>
      <x:c r="E17" s="11" t="str">
        <x:v>Validation humaine avant tout paiement</x:v>
      </x:c>
      <x:c r="F17" s="11" t="n">
        <x:v>1500</x:v>
      </x:c>
      <x:c r="G17" s="11" t="str">
        <x:v>EUR</x:v>
      </x:c>
      <x:c r="H17" s="11" t="str">
        <x:v>SRC-036</x:v>
      </x:c>
      <x:c r="I17" s="11" t="str">
        <x:v>SYNTHETIQUE</x:v>
      </x:c>
    </x:row>
    <x:row r="18" ht="28" customHeight="1">
      <x:c r="A18" s="10" t="str">
        <x:v>DEC-013</x:v>
      </x:c>
      <x:c r="B18" s="10" t="str">
        <x:v>ACT-013</x:v>
      </x:c>
      <x:c r="C18" s="10" t="str">
        <x:v>Valider la correction administrative</x:v>
      </x:c>
      <x:c r="D18" s="10" t="str">
        <x:v>PER-007</x:v>
      </x:c>
      <x:c r="E18" s="10" t="str">
        <x:v>Validation du rôle responsable</x:v>
      </x:c>
      <x:c r="F18" s="10"/>
      <x:c r="G18" s="10" t="str"/>
      <x:c r="H18" s="10" t="str">
        <x:v>SRC-005</x:v>
      </x:c>
      <x:c r="I18" s="10" t="str">
        <x:v>SYNTHETIQUE</x:v>
      </x:c>
    </x:row>
    <x:row r="19" ht="28" customHeight="1">
      <x:c r="A19" s="11" t="str">
        <x:v>DEC-014</x:v>
      </x:c>
      <x:c r="B19" s="11" t="str">
        <x:v>ACT-014</x:v>
      </x:c>
      <x:c r="C19" s="11" t="str">
        <x:v>Valider sa complétude administrative</x:v>
      </x:c>
      <x:c r="D19" s="11" t="str">
        <x:v>PER-007</x:v>
      </x:c>
      <x:c r="E19" s="11" t="str">
        <x:v>Validation du rôle responsable</x:v>
      </x:c>
      <x:c r="F19" s="11"/>
      <x:c r="G19" s="11" t="str"/>
      <x:c r="H19" s="11" t="str">
        <x:v>SRC-005</x:v>
      </x:c>
      <x:c r="I19" s="11" t="str">
        <x:v>SYNTHETIQUE</x:v>
      </x:c>
    </x:row>
    <x:row r="20" ht="28" customHeight="1">
      <x:c r="A20" s="10" t="str">
        <x:v>DEC-015</x:v>
      </x:c>
      <x:c r="B20" s="10" t="str">
        <x:v>ACT-015</x:v>
      </x:c>
      <x:c r="C20" s="10" t="str">
        <x:v>Valider la proposition par le conseiller</x:v>
      </x:c>
      <x:c r="D20" s="10" t="str">
        <x:v>PER-008</x:v>
      </x:c>
      <x:c r="E20" s="10" t="str">
        <x:v>Validation du rôle responsable</x:v>
      </x:c>
      <x:c r="F20" s="10"/>
      <x:c r="G20" s="10" t="str"/>
      <x:c r="H20" s="10" t="str">
        <x:v>SRC-005</x:v>
      </x:c>
      <x:c r="I20" s="10" t="str">
        <x:v>SYNTHETIQUE</x:v>
      </x:c>
    </x:row>
    <x:row r="21" ht="28" customHeight="1">
      <x:c r="A21" s="11" t="str">
        <x:v>DEC-016</x:v>
      </x:c>
      <x:c r="B21" s="11" t="str">
        <x:v>ACT-016</x:v>
      </x:c>
      <x:c r="C21" s="11" t="str">
        <x:v>Autoriser le traitement de l’opération</x:v>
      </x:c>
      <x:c r="D21" s="11" t="str">
        <x:v>PER-008</x:v>
      </x:c>
      <x:c r="E21" s="11" t="str">
        <x:v>Validation du rôle responsable</x:v>
      </x:c>
      <x:c r="F21" s="11"/>
      <x:c r="G21" s="11" t="str"/>
      <x:c r="H21" s="11" t="str">
        <x:v>SRC-005</x:v>
      </x:c>
      <x:c r="I21" s="11" t="str">
        <x:v>SYNTHETIQUE</x:v>
      </x:c>
    </x:row>
    <x:row r="22" ht="28" customHeight="1">
      <x:c r="A22" s="10" t="str">
        <x:v>DEC-017</x:v>
      </x:c>
      <x:c r="B22" s="10" t="str">
        <x:v>ACT-017</x:v>
      </x:c>
      <x:c r="C22" s="10" t="str">
        <x:v>Choisir un prestataire disponible</x:v>
      </x:c>
      <x:c r="D22" s="10" t="str">
        <x:v>PER-009</x:v>
      </x:c>
      <x:c r="E22" s="10" t="str">
        <x:v>Validation du rôle responsable</x:v>
      </x:c>
      <x:c r="F22" s="10"/>
      <x:c r="G22" s="10" t="str"/>
      <x:c r="H22" s="10" t="str">
        <x:v>SRC-005</x:v>
      </x:c>
      <x:c r="I22" s="10" t="str">
        <x:v>SYNTHETIQUE</x:v>
      </x:c>
    </x:row>
    <x:row r="23" ht="28" customHeight="1">
      <x:c r="A23" s="11" t="str">
        <x:v>DEC-018</x:v>
      </x:c>
      <x:c r="B23" s="11" t="str">
        <x:v>ACT-018</x:v>
      </x:c>
      <x:c r="C23" s="11" t="str">
        <x:v>Escalader un retard critique</x:v>
      </x:c>
      <x:c r="D23" s="11" t="str">
        <x:v>PER-009</x:v>
      </x:c>
      <x:c r="E23" s="11" t="str">
        <x:v>Validation du rôle responsable</x:v>
      </x:c>
      <x:c r="F23" s="11"/>
      <x:c r="G23" s="11" t="str"/>
      <x:c r="H23" s="11" t="str">
        <x:v>SRC-005</x:v>
      </x:c>
      <x:c r="I23" s="11" t="str">
        <x:v>SYNTHETIQUE</x:v>
      </x:c>
    </x:row>
    <x:row r="24" ht="28" customHeight="1">
      <x:c r="A24" s="10" t="str">
        <x:v>DEC-019</x:v>
      </x:c>
      <x:c r="B24" s="10" t="str">
        <x:v>ACT-019</x:v>
      </x:c>
      <x:c r="C24" s="10" t="str">
        <x:v>Valider une interprétation de clause</x:v>
      </x:c>
      <x:c r="D24" s="10" t="str">
        <x:v>PER-010</x:v>
      </x:c>
      <x:c r="E24" s="10" t="str">
        <x:v>Validation du rôle responsable</x:v>
      </x:c>
      <x:c r="F24" s="10"/>
      <x:c r="G24" s="10" t="str"/>
      <x:c r="H24" s="10" t="str">
        <x:v>SRC-005</x:v>
      </x:c>
      <x:c r="I24" s="10" t="str">
        <x:v>SYNTHETIQUE</x:v>
      </x:c>
    </x:row>
    <x:row r="25" ht="28" customHeight="1">
      <x:c r="A25" s="11" t="str">
        <x:v>DEC-020</x:v>
      </x:c>
      <x:c r="B25" s="11" t="str">
        <x:v>ACT-020</x:v>
      </x:c>
      <x:c r="C25" s="11" t="str">
        <x:v>Valider les écarts résiduels</x:v>
      </x:c>
      <x:c r="D25" s="11" t="str">
        <x:v>PER-010</x:v>
      </x:c>
      <x:c r="E25" s="11" t="str">
        <x:v>Validation du rôle responsable</x:v>
      </x:c>
      <x:c r="F25" s="11"/>
      <x:c r="G25" s="11" t="str"/>
      <x:c r="H25" s="11" t="str">
        <x:v>SRC-005</x:v>
      </x:c>
      <x:c r="I25" s="11" t="str">
        <x:v>SYNTHETIQUE</x:v>
      </x:c>
    </x:row>
    <x:row r="26" ht="28" customHeight="1">
      <x:c r="A26" s="10" t="str">
        <x:v>DEC-021</x:v>
      </x:c>
      <x:c r="B26" s="10" t="str">
        <x:v>ACT-021</x:v>
      </x:c>
      <x:c r="C26" s="10" t="str">
        <x:v>Valider une hypothèse actuarielle</x:v>
      </x:c>
      <x:c r="D26" s="10" t="str">
        <x:v>PER-011</x:v>
      </x:c>
      <x:c r="E26" s="10" t="str">
        <x:v>Validation du rôle responsable</x:v>
      </x:c>
      <x:c r="F26" s="10"/>
      <x:c r="G26" s="10" t="str"/>
      <x:c r="H26" s="10" t="str">
        <x:v>SRC-005</x:v>
      </x:c>
      <x:c r="I26" s="10" t="str">
        <x:v>SYNTHETIQUE</x:v>
      </x:c>
    </x:row>
    <x:row r="27" ht="28" customHeight="1">
      <x:c r="A27" s="11" t="str">
        <x:v>DEC-022</x:v>
      </x:c>
      <x:c r="B27" s="11" t="str">
        <x:v>ACT-022</x:v>
      </x:c>
      <x:c r="C27" s="11" t="str">
        <x:v>Approuver la publication</x:v>
      </x:c>
      <x:c r="D27" s="11" t="str">
        <x:v>PER-011</x:v>
      </x:c>
      <x:c r="E27" s="11" t="str">
        <x:v>Validation du rôle responsable</x:v>
      </x:c>
      <x:c r="F27" s="11"/>
      <x:c r="G27" s="11" t="str"/>
      <x:c r="H27" s="11" t="str">
        <x:v>SRC-005</x:v>
      </x:c>
      <x:c r="I27" s="11" t="str">
        <x:v>SYNTHETIQUE</x:v>
      </x:c>
    </x:row>
    <x:row r="28" ht="28" customHeight="1">
      <x:c r="A28" s="10" t="str">
        <x:v>DEC-023</x:v>
      </x:c>
      <x:c r="B28" s="10" t="str">
        <x:v>ACT-023</x:v>
      </x:c>
      <x:c r="C28" s="10" t="str">
        <x:v>Ouvrir une investigation</x:v>
      </x:c>
      <x:c r="D28" s="10" t="str">
        <x:v>PER-012</x:v>
      </x:c>
      <x:c r="E28" s="10" t="str">
        <x:v>Validation du rôle responsable</x:v>
      </x:c>
      <x:c r="F28" s="10"/>
      <x:c r="G28" s="10" t="str"/>
      <x:c r="H28" s="10" t="str">
        <x:v>SRC-005</x:v>
      </x:c>
      <x:c r="I28" s="10" t="str">
        <x:v>SYNTHETIQUE</x:v>
      </x:c>
    </x:row>
    <x:row r="29" ht="28" customHeight="1">
      <x:c r="A29" s="11" t="str">
        <x:v>DEC-024</x:v>
      </x:c>
      <x:c r="B29" s="11" t="str">
        <x:v>ACT-024</x:v>
      </x:c>
      <x:c r="C29" s="11" t="str">
        <x:v>Escalader au responsable conformité</x:v>
      </x:c>
      <x:c r="D29" s="11" t="str">
        <x:v>PER-012</x:v>
      </x:c>
      <x:c r="E29" s="11" t="str">
        <x:v>Validation du rôle responsable</x:v>
      </x:c>
      <x:c r="F29" s="11"/>
      <x:c r="G29" s="11" t="str"/>
      <x:c r="H29" s="11" t="str">
        <x:v>SRC-005</x:v>
      </x:c>
      <x:c r="I29" s="11" t="str">
        <x:v>SYNTHETIQUE</x:v>
      </x:c>
    </x:row>
    <x:row r="30" ht="28" customHeight="1">
      <x:c r="A30" s="10" t="str">
        <x:v>DEC-025</x:v>
      </x:c>
      <x:c r="B30" s="10" t="str">
        <x:v>ACT-025</x:v>
      </x:c>
      <x:c r="C30" s="10" t="str">
        <x:v>Valider la réponse au client</x:v>
      </x:c>
      <x:c r="D30" s="10" t="str">
        <x:v>PER-013</x:v>
      </x:c>
      <x:c r="E30" s="10" t="str">
        <x:v>Validation du rôle responsable</x:v>
      </x:c>
      <x:c r="F30" s="10"/>
      <x:c r="G30" s="10" t="str"/>
      <x:c r="H30" s="10" t="str">
        <x:v>SRC-005</x:v>
      </x:c>
      <x:c r="I30" s="10" t="str">
        <x:v>SYNTHETIQUE</x:v>
      </x:c>
    </x:row>
    <x:row r="31" ht="28" customHeight="1">
      <x:c r="A31" s="11" t="str">
        <x:v>DEC-026</x:v>
      </x:c>
      <x:c r="B31" s="11" t="str">
        <x:v>ACT-026</x:v>
      </x:c>
      <x:c r="C31" s="11" t="str">
        <x:v>Décider une réponse ou une réparation</x:v>
      </x:c>
      <x:c r="D31" s="11" t="str">
        <x:v>PER-013</x:v>
      </x:c>
      <x:c r="E31" s="11" t="str">
        <x:v>Validation du rôle responsable</x:v>
      </x:c>
      <x:c r="F31" s="11"/>
      <x:c r="G31" s="11" t="str"/>
      <x:c r="H31" s="11" t="str">
        <x:v>SRC-005</x:v>
      </x:c>
      <x:c r="I31" s="11" t="str">
        <x:v>SYNTHETIQUE</x:v>
      </x:c>
    </x:row>
    <x:row r="32" ht="28" customHeight="1">
      <x:c r="A32" s="10" t="str">
        <x:v>DEC-027</x:v>
      </x:c>
      <x:c r="B32" s="10" t="str">
        <x:v>ACT-027</x:v>
      </x:c>
      <x:c r="C32" s="10" t="str">
        <x:v>Valider une imputation de coût</x:v>
      </x:c>
      <x:c r="D32" s="10" t="str">
        <x:v>PER-014</x:v>
      </x:c>
      <x:c r="E32" s="10" t="str">
        <x:v>Validation du rôle responsable</x:v>
      </x:c>
      <x:c r="F32" s="10"/>
      <x:c r="G32" s="10" t="str"/>
      <x:c r="H32" s="10" t="str">
        <x:v>SRC-005</x:v>
      </x:c>
      <x:c r="I32" s="10" t="str">
        <x:v>SYNTHETIQUE</x:v>
      </x:c>
    </x:row>
    <x:row r="33" ht="28" customHeight="1">
      <x:c r="A33" s="11" t="str">
        <x:v>DEC-028</x:v>
      </x:c>
      <x:c r="B33" s="11" t="str">
        <x:v>ACT-028</x:v>
      </x:c>
      <x:c r="C33" s="11" t="str">
        <x:v>Reconnaître un bénéfice démontré</x:v>
      </x:c>
      <x:c r="D33" s="11" t="str">
        <x:v>PER-014</x:v>
      </x:c>
      <x:c r="E33" s="11" t="str">
        <x:v>Validation du rôle responsable</x:v>
      </x:c>
      <x:c r="F33" s="11"/>
      <x:c r="G33" s="11" t="str"/>
      <x:c r="H33" s="11" t="str">
        <x:v>SRC-005</x:v>
      </x:c>
      <x:c r="I33" s="11" t="str">
        <x:v>SYNTHETIQUE</x:v>
      </x:c>
    </x:row>
    <x:row r="34" ht="28" customHeight="1">
      <x:c r="A34" s="10" t="str">
        <x:v>DEC-029</x:v>
      </x:c>
      <x:c r="B34" s="10" t="str">
        <x:v>ACT-029</x:v>
      </x:c>
      <x:c r="C34" s="10" t="str">
        <x:v>Valider le parcours par population</x:v>
      </x:c>
      <x:c r="D34" s="10" t="str">
        <x:v>PER-015</x:v>
      </x:c>
      <x:c r="E34" s="10" t="str">
        <x:v>Validation du rôle responsable</x:v>
      </x:c>
      <x:c r="F34" s="10"/>
      <x:c r="G34" s="10" t="str"/>
      <x:c r="H34" s="10" t="str">
        <x:v>SRC-005</x:v>
      </x:c>
      <x:c r="I34" s="10" t="str">
        <x:v>SYNTHETIQUE</x:v>
      </x:c>
    </x:row>
    <x:row r="35" ht="28" customHeight="1">
      <x:c r="A35" s="11" t="str">
        <x:v>DEC-030</x:v>
      </x:c>
      <x:c r="B35" s="11" t="str">
        <x:v>ACT-030</x:v>
      </x:c>
      <x:c r="C35" s="11" t="str">
        <x:v>Définir un accompagnement collectif</x:v>
      </x:c>
      <x:c r="D35" s="11" t="str">
        <x:v>PER-015</x:v>
      </x:c>
      <x:c r="E35" s="11" t="str">
        <x:v>Validation du rôle responsable</x:v>
      </x:c>
      <x:c r="F35" s="11"/>
      <x:c r="G35" s="11" t="str"/>
      <x:c r="H35" s="11" t="str">
        <x:v>SRC-005</x:v>
      </x:c>
      <x:c r="I35" s="11" t="str">
        <x:v>SYNTHETIQUE</x:v>
      </x:c>
    </x:row>
    <x:row r="36" ht="28" customHeight="1">
      <x:c r="A36" s="10" t="str">
        <x:v>DEC-031</x:v>
      </x:c>
      <x:c r="B36" s="10" t="str">
        <x:v>ACT-031</x:v>
      </x:c>
      <x:c r="C36" s="10" t="str">
        <x:v>Choisir une équipe de résolution</x:v>
      </x:c>
      <x:c r="D36" s="10" t="str">
        <x:v>PER-016</x:v>
      </x:c>
      <x:c r="E36" s="10" t="str">
        <x:v>Validation du rôle responsable</x:v>
      </x:c>
      <x:c r="F36" s="10"/>
      <x:c r="G36" s="10" t="str"/>
      <x:c r="H36" s="10" t="str">
        <x:v>SRC-005</x:v>
      </x:c>
      <x:c r="I36" s="10" t="str">
        <x:v>SYNTHETIQUE</x:v>
      </x:c>
    </x:row>
    <x:row r="37" ht="28" customHeight="1">
      <x:c r="A37" s="11" t="str">
        <x:v>DEC-032</x:v>
      </x:c>
      <x:c r="B37" s="11" t="str">
        <x:v>ACT-032</x:v>
      </x:c>
      <x:c r="C37" s="11" t="str">
        <x:v>Accorder ou retirer un scope</x:v>
      </x:c>
      <x:c r="D37" s="11" t="str">
        <x:v>PER-016</x:v>
      </x:c>
      <x:c r="E37" s="11" t="str">
        <x:v>Validation du rôle responsable</x:v>
      </x:c>
      <x:c r="F37" s="11"/>
      <x:c r="G37" s="11" t="str"/>
      <x:c r="H37" s="11" t="str">
        <x:v>SRC-005</x:v>
      </x:c>
      <x:c r="I37" s="11" t="str">
        <x:v>SYNTHETIQUE</x:v>
      </x:c>
    </x:row>
    <x:row r="38" ht="28" customHeight="1">
      <x:c r="A38" s="10" t="str">
        <x:v>DEC-033</x:v>
      </x:c>
      <x:c r="B38" s="10" t="str">
        <x:v>ACT-033</x:v>
      </x:c>
      <x:c r="C38" s="10" t="str">
        <x:v>Valider sa définition et son propriétaire</x:v>
      </x:c>
      <x:c r="D38" s="10" t="str">
        <x:v>PER-017</x:v>
      </x:c>
      <x:c r="E38" s="10" t="str">
        <x:v>Validation du rôle responsable</x:v>
      </x:c>
      <x:c r="F38" s="10"/>
      <x:c r="G38" s="10" t="str"/>
      <x:c r="H38" s="10" t="str">
        <x:v>SRC-005</x:v>
      </x:c>
      <x:c r="I38" s="10" t="str">
        <x:v>SYNTHETIQUE</x:v>
      </x:c>
    </x:row>
    <x:row r="39" ht="28" customHeight="1">
      <x:c r="A39" s="11" t="str">
        <x:v>DEC-034</x:v>
      </x:c>
      <x:c r="B39" s="11" t="str">
        <x:v>ACT-034</x:v>
      </x:c>
      <x:c r="C39" s="11" t="str">
        <x:v>Prioriser sa correction</x:v>
      </x:c>
      <x:c r="D39" s="11" t="str">
        <x:v>PER-017</x:v>
      </x:c>
      <x:c r="E39" s="11" t="str">
        <x:v>Validation du rôle responsable</x:v>
      </x:c>
      <x:c r="F39" s="11"/>
      <x:c r="G39" s="11" t="str"/>
      <x:c r="H39" s="11" t="str">
        <x:v>SRC-005</x:v>
      </x:c>
      <x:c r="I39" s="11" t="str">
        <x:v>SYNTHETIQUE</x:v>
      </x:c>
    </x:row>
    <x:row r="40" ht="28" customHeight="1">
      <x:c r="A40" s="10" t="str">
        <x:v>DEC-035</x:v>
      </x:c>
      <x:c r="B40" s="10" t="str">
        <x:v>ACT-035</x:v>
      </x:c>
      <x:c r="C40" s="10" t="str">
        <x:v>Autoriser sa mise en service</x:v>
      </x:c>
      <x:c r="D40" s="10" t="str">
        <x:v>PER-018</x:v>
      </x:c>
      <x:c r="E40" s="10" t="str">
        <x:v>Validation du rôle responsable</x:v>
      </x:c>
      <x:c r="F40" s="10"/>
      <x:c r="G40" s="10" t="str"/>
      <x:c r="H40" s="10" t="str">
        <x:v>SRC-005</x:v>
      </x:c>
      <x:c r="I40" s="10" t="str">
        <x:v>SYNTHETIQUE</x:v>
      </x:c>
    </x:row>
    <x:row r="41" ht="28" customHeight="1">
      <x:c r="A41" s="11" t="str">
        <x:v>DEC-036</x:v>
      </x:c>
      <x:c r="B41" s="11" t="str">
        <x:v>ACT-036</x:v>
      </x:c>
      <x:c r="C41" s="11" t="str">
        <x:v>Lancer une analyse de recouvrement</x:v>
      </x:c>
      <x:c r="D41" s="11" t="str">
        <x:v>PER-018</x:v>
      </x:c>
      <x:c r="E41" s="11" t="str">
        <x:v>Validation du rôle responsable</x:v>
      </x:c>
      <x:c r="F41" s="11"/>
      <x:c r="G41" s="11" t="str"/>
      <x:c r="H41" s="11" t="str">
        <x:v>SRC-005</x:v>
      </x:c>
      <x:c r="I41" s="11" t="str">
        <x:v>SYNTHETIQUE</x:v>
      </x:c>
    </x:row>
    <x:row r="42" ht="28" customHeight="1">
      <x:c r="A42" s="10" t="str">
        <x:v>DEC-037</x:v>
      </x:c>
      <x:c r="B42" s="10" t="str">
        <x:v>ACT-037</x:v>
      </x:c>
      <x:c r="C42" s="10" t="str">
        <x:v>Accepter un contrôle démontré</x:v>
      </x:c>
      <x:c r="D42" s="10" t="str">
        <x:v>PER-019</x:v>
      </x:c>
      <x:c r="E42" s="10" t="str">
        <x:v>Validation du rôle responsable</x:v>
      </x:c>
      <x:c r="F42" s="10"/>
      <x:c r="G42" s="10" t="str"/>
      <x:c r="H42" s="10" t="str">
        <x:v>SRC-005</x:v>
      </x:c>
      <x:c r="I42" s="10" t="str">
        <x:v>SYNTHETIQUE</x:v>
      </x:c>
    </x:row>
    <x:row r="43" ht="28" customHeight="1">
      <x:c r="A43" s="11" t="str">
        <x:v>DEC-038</x:v>
      </x:c>
      <x:c r="B43" s="11" t="str">
        <x:v>ACT-038</x:v>
      </x:c>
      <x:c r="C43" s="11" t="str">
        <x:v>Autoriser un usage selon ses conditions</x:v>
      </x:c>
      <x:c r="D43" s="11" t="str">
        <x:v>PER-019</x:v>
      </x:c>
      <x:c r="E43" s="11" t="str">
        <x:v>Validation du rôle responsable</x:v>
      </x:c>
      <x:c r="F43" s="11"/>
      <x:c r="G43" s="11" t="str"/>
      <x:c r="H43" s="11" t="str">
        <x:v>SRC-005</x:v>
      </x:c>
      <x:c r="I43" s="11" t="str">
        <x:v>SYNTHETIQUE</x:v>
      </x:c>
    </x:row>
    <x:row r="44" ht="28" customHeight="1">
      <x:c r="A44" s="10" t="str">
        <x:v>DEC-039</x:v>
      </x:c>
      <x:c r="B44" s="10" t="str">
        <x:v>ACT-039</x:v>
      </x:c>
      <x:c r="C44" s="10" t="str">
        <x:v>Valider son contenu avant partage</x:v>
      </x:c>
      <x:c r="D44" s="10" t="str">
        <x:v>PER-020</x:v>
      </x:c>
      <x:c r="E44" s="10" t="str">
        <x:v>Validation du rôle responsable</x:v>
      </x:c>
      <x:c r="F44" s="10"/>
      <x:c r="G44" s="10" t="str"/>
      <x:c r="H44" s="10" t="str">
        <x:v>SRC-005</x:v>
      </x:c>
      <x:c r="I44" s="10" t="str">
        <x:v>SYNTHETIQUE</x:v>
      </x:c>
    </x:row>
    <x:row r="45" ht="28" customHeight="1">
      <x:c r="A45" s="11" t="str">
        <x:v>DEC-040</x:v>
      </x:c>
      <x:c r="B45" s="11" t="str">
        <x:v>ACT-040</x:v>
      </x:c>
      <x:c r="C45" s="11" t="str">
        <x:v>Valider une règle réutilisable</x:v>
      </x:c>
      <x:c r="D45" s="11" t="str">
        <x:v>PER-020</x:v>
      </x:c>
      <x:c r="E45" s="11" t="str">
        <x:v>Validation du rôle responsable</x:v>
      </x:c>
      <x:c r="F45" s="11"/>
      <x:c r="G45" s="11" t="str"/>
      <x:c r="H45" s="11" t="str">
        <x:v>SRC-005</x:v>
      </x:c>
      <x:c r="I45" s="11" t="str">
        <x:v>SYNTHETIQUE</x:v>
      </x:c>
    </x:row>
  </x:sheetData>
  <x:pageMargins left="0.7" right="0.7" top="0.75" bottom="0.75" header="0.3" footer="0.3"/>
  <x:tableParts count="1">
    <x:tablePart xmlns:r="http://schemas.openxmlformats.org/officeDocument/2006/relationships" r:id="Rb59db9aa391e4da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0" hidden="0" customWidth="1"/>
    <x:col min="2" max="2" width="30" hidden="0" customWidth="1"/>
    <x:col min="3" max="3" width="41" hidden="0" customWidth="1"/>
    <x:col min="4" max="4" width="24" hidden="0" customWidth="1"/>
    <x:col min="5" max="5" width="47" hidden="0" customWidth="1"/>
    <x:col min="6" max="6" width="34" hidden="0" customWidth="1"/>
    <x:col min="7" max="7" width="17" hidden="0" customWidth="1"/>
    <x:col min="8" max="8" width="2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Applications</x:v>
      </x:c>
      <x:c r="B2" s="2"/>
      <x:c r="C2" s="2"/>
      <x:c r="D2" s="2"/>
      <x:c r="E2" s="2"/>
      <x:c r="F2" s="2"/>
      <x:c r="G2" s="2"/>
      <x:c r="H2" s="2"/>
    </x:row>
    <x:row r="3">
      <x:c r="A3" s="4" t="str">
        <x:v>DONNÉES SYNTHÉTIQUES — Assureur Démo France — août 2026 / état au 20 septembre 2026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42" customHeight="1">
      <x:c r="A5" s="8" t="str">
        <x:v>application_id</x:v>
      </x:c>
      <x:c r="B5" s="8" t="str">
        <x:v>Application fictive</x:v>
      </x:c>
      <x:c r="C5" s="8" t="str">
        <x:v>Domaine</x:v>
      </x:c>
      <x:c r="D5" s="8" t="str">
        <x:v>Éditeur</x:v>
      </x:c>
      <x:c r="E5" s="8" t="str">
        <x:v>Hébergement déclaré</x:v>
      </x:c>
      <x:c r="F5" s="8" t="str">
        <x:v>Statut</x:v>
      </x:c>
      <x:c r="G5" s="8" t="str">
        <x:v>source_id</x:v>
      </x:c>
      <x:c r="H5" s="8" t="str">
        <x:v>Nature</x:v>
      </x:c>
    </x:row>
    <x:row r="6" ht="28" customHeight="1">
      <x:c r="A6" s="10" t="str">
        <x:v>APP-001</x:v>
      </x:c>
      <x:c r="B6" s="10" t="str">
        <x:v>PilotagePro</x:v>
      </x:c>
      <x:c r="C6" s="10" t="str">
        <x:v>Stratégie et organisation</x:v>
      </x:c>
      <x:c r="D6" s="10" t="str">
        <x:v>Éditeur fictif</x:v>
      </x:c>
      <x:c r="E6" s="10" t="str">
        <x:v>Hébergement de démonstration</x:v>
      </x:c>
      <x:c r="F6" s="10" t="str">
        <x:v>Approuvé dans la simulation</x:v>
      </x:c>
      <x:c r="G6" s="10" t="str">
        <x:v>SRC-085</x:v>
      </x:c>
      <x:c r="H6" s="10" t="str">
        <x:v>SYNTHETIQUE</x:v>
      </x:c>
    </x:row>
    <x:row r="7" ht="28" customHeight="1">
      <x:c r="A7" s="11" t="str">
        <x:v>APP-002</x:v>
      </x:c>
      <x:c r="B7" s="11" t="str">
        <x:v>ProduitDoc</x:v>
      </x:c>
      <x:c r="C7" s="11" t="str">
        <x:v>Produits et garanties</x:v>
      </x:c>
      <x:c r="D7" s="11" t="str">
        <x:v>Éditeur fictif</x:v>
      </x:c>
      <x:c r="E7" s="11" t="str">
        <x:v>Hébergement de démonstration</x:v>
      </x:c>
      <x:c r="F7" s="11" t="str">
        <x:v>Approuvé dans la simulation</x:v>
      </x:c>
      <x:c r="G7" s="11" t="str">
        <x:v>SRC-085</x:v>
      </x:c>
      <x:c r="H7" s="11" t="str">
        <x:v>SYNTHETIQUE</x:v>
      </x:c>
    </x:row>
    <x:row r="8" ht="28" customHeight="1">
      <x:c r="A8" s="10" t="str">
        <x:v>APP-003</x:v>
      </x:c>
      <x:c r="B8" s="10" t="str">
        <x:v>RelationCRM</x:v>
      </x:c>
      <x:c r="C8" s="10" t="str">
        <x:v>Distribution et commercial</x:v>
      </x:c>
      <x:c r="D8" s="10" t="str">
        <x:v>Éditeur fictif</x:v>
      </x:c>
      <x:c r="E8" s="10" t="str">
        <x:v>Hébergement de démonstration</x:v>
      </x:c>
      <x:c r="F8" s="10" t="str">
        <x:v>Approuvé dans la simulation</x:v>
      </x:c>
      <x:c r="G8" s="10" t="str">
        <x:v>SRC-085</x:v>
      </x:c>
      <x:c r="H8" s="10" t="str">
        <x:v>SYNTHETIQUE</x:v>
      </x:c>
    </x:row>
    <x:row r="9" ht="28" customHeight="1">
      <x:c r="A9" s="11" t="str">
        <x:v>APP-004</x:v>
      </x:c>
      <x:c r="B9" s="11" t="str">
        <x:v>TarifPro</x:v>
      </x:c>
      <x:c r="C9" s="11" t="str">
        <x:v>Souscription et tarification</x:v>
      </x:c>
      <x:c r="D9" s="11" t="str">
        <x:v>Éditeur fictif</x:v>
      </x:c>
      <x:c r="E9" s="11" t="str">
        <x:v>Hébergement de démonstration</x:v>
      </x:c>
      <x:c r="F9" s="11" t="str">
        <x:v>Approuvé dans la simulation</x:v>
      </x:c>
      <x:c r="G9" s="11" t="str">
        <x:v>SRC-085</x:v>
      </x:c>
      <x:c r="H9" s="11" t="str">
        <x:v>SYNTHETIQUE</x:v>
      </x:c>
    </x:row>
    <x:row r="10" ht="28" customHeight="1">
      <x:c r="A10" s="10" t="str">
        <x:v>APP-005</x:v>
      </x:c>
      <x:c r="B10" s="10" t="str">
        <x:v>ContratCentral</x:v>
      </x:c>
      <x:c r="C10" s="10" t="str">
        <x:v>Gestion des contrats</x:v>
      </x:c>
      <x:c r="D10" s="10" t="str">
        <x:v>Éditeur fictif</x:v>
      </x:c>
      <x:c r="E10" s="10" t="str">
        <x:v>Hébergement de démonstration</x:v>
      </x:c>
      <x:c r="F10" s="10" t="str">
        <x:v>Approuvé dans la simulation</x:v>
      </x:c>
      <x:c r="G10" s="10" t="str">
        <x:v>SRC-085</x:v>
      </x:c>
      <x:c r="H10" s="10" t="str">
        <x:v>SYNTHETIQUE</x:v>
      </x:c>
    </x:row>
    <x:row r="11" ht="28" customHeight="1">
      <x:c r="A11" s="11" t="str">
        <x:v>APP-006</x:v>
      </x:c>
      <x:c r="B11" s="11" t="str">
        <x:v>SinistreCentral</x:v>
      </x:c>
      <x:c r="C11" s="11" t="str">
        <x:v>Sinistres et indemnisation</x:v>
      </x:c>
      <x:c r="D11" s="11" t="str">
        <x:v>Éditeur fictif</x:v>
      </x:c>
      <x:c r="E11" s="11" t="str">
        <x:v>Hébergement de démonstration</x:v>
      </x:c>
      <x:c r="F11" s="11" t="str">
        <x:v>Approuvé dans la simulation</x:v>
      </x:c>
      <x:c r="G11" s="11" t="str">
        <x:v>SRC-085</x:v>
      </x:c>
      <x:c r="H11" s="11" t="str">
        <x:v>SYNTHETIQUE</x:v>
      </x:c>
    </x:row>
    <x:row r="12" ht="28" customHeight="1">
      <x:c r="A12" s="10" t="str">
        <x:v>APP-007</x:v>
      </x:c>
      <x:c r="B12" s="10" t="str">
        <x:v>PrestaSante</x:v>
      </x:c>
      <x:c r="C12" s="10" t="str">
        <x:v>Santé et prévoyance</x:v>
      </x:c>
      <x:c r="D12" s="10" t="str">
        <x:v>Éditeur fictif</x:v>
      </x:c>
      <x:c r="E12" s="10" t="str">
        <x:v>Hébergement de démonstration</x:v>
      </x:c>
      <x:c r="F12" s="10" t="str">
        <x:v>Approuvé dans la simulation</x:v>
      </x:c>
      <x:c r="G12" s="10" t="str">
        <x:v>SRC-085</x:v>
      </x:c>
      <x:c r="H12" s="10" t="str">
        <x:v>SYNTHETIQUE</x:v>
      </x:c>
    </x:row>
    <x:row r="13" ht="28" customHeight="1">
      <x:c r="A13" s="11" t="str">
        <x:v>APP-008</x:v>
      </x:c>
      <x:c r="B13" s="11" t="str">
        <x:v>EpargneConseil</x:v>
      </x:c>
      <x:c r="C13" s="11" t="str">
        <x:v>Vie, épargne et retraite</x:v>
      </x:c>
      <x:c r="D13" s="11" t="str">
        <x:v>Éditeur fictif</x:v>
      </x:c>
      <x:c r="E13" s="11" t="str">
        <x:v>Hébergement de démonstration</x:v>
      </x:c>
      <x:c r="F13" s="11" t="str">
        <x:v>Approuvé dans la simulation</x:v>
      </x:c>
      <x:c r="G13" s="11" t="str">
        <x:v>SRC-085</x:v>
      </x:c>
      <x:c r="H13" s="11" t="str">
        <x:v>SYNTHETIQUE</x:v>
      </x:c>
    </x:row>
    <x:row r="14" ht="28" customHeight="1">
      <x:c r="A14" s="10" t="str">
        <x:v>APP-009</x:v>
      </x:c>
      <x:c r="B14" s="10" t="str">
        <x:v>AssistanceDispatch</x:v>
      </x:c>
      <x:c r="C14" s="10" t="str">
        <x:v>Assistance et prestataires</x:v>
      </x:c>
      <x:c r="D14" s="10" t="str">
        <x:v>Éditeur fictif</x:v>
      </x:c>
      <x:c r="E14" s="10" t="str">
        <x:v>Hébergement de démonstration</x:v>
      </x:c>
      <x:c r="F14" s="10" t="str">
        <x:v>Approuvé dans la simulation</x:v>
      </x:c>
      <x:c r="G14" s="10" t="str">
        <x:v>SRC-085</x:v>
      </x:c>
      <x:c r="H14" s="10" t="str">
        <x:v>SYNTHETIQUE</x:v>
      </x:c>
    </x:row>
    <x:row r="15" ht="28" customHeight="1">
      <x:c r="A15" s="11" t="str">
        <x:v>APP-010</x:v>
      </x:c>
      <x:c r="B15" s="11" t="str">
        <x:v>ReassurDesk</x:v>
      </x:c>
      <x:c r="C15" s="11" t="str">
        <x:v>Réassurance et coassurance</x:v>
      </x:c>
      <x:c r="D15" s="11" t="str">
        <x:v>Éditeur fictif</x:v>
      </x:c>
      <x:c r="E15" s="11" t="str">
        <x:v>Hébergement de démonstration</x:v>
      </x:c>
      <x:c r="F15" s="11" t="str">
        <x:v>Approuvé dans la simulation</x:v>
      </x:c>
      <x:c r="G15" s="11" t="str">
        <x:v>SRC-085</x:v>
      </x:c>
      <x:c r="H15" s="11" t="str">
        <x:v>SYNTHETIQUE</x:v>
      </x:c>
    </x:row>
    <x:row r="16" ht="38" customHeight="1">
      <x:c r="A16" s="10" t="str">
        <x:v>APP-011</x:v>
      </x:c>
      <x:c r="B16" s="10" t="str">
        <x:v>ActuLab</x:v>
      </x:c>
      <x:c r="C16" s="10" t="str">
        <x:v>Actuariat, capital et investissements</x:v>
      </x:c>
      <x:c r="D16" s="10" t="str">
        <x:v>Éditeur fictif</x:v>
      </x:c>
      <x:c r="E16" s="10" t="str">
        <x:v>Hébergement de démonstration</x:v>
      </x:c>
      <x:c r="F16" s="10" t="str">
        <x:v>Approuvé dans la simulation</x:v>
      </x:c>
      <x:c r="G16" s="10" t="str">
        <x:v>SRC-085</x:v>
      </x:c>
      <x:c r="H16" s="10" t="str">
        <x:v>SYNTHETIQUE</x:v>
      </x:c>
    </x:row>
    <x:row r="17" ht="28" customHeight="1">
      <x:c r="A17" s="11" t="str">
        <x:v>APP-012</x:v>
      </x:c>
      <x:c r="B17" s="11" t="str">
        <x:v>FraudWatch</x:v>
      </x:c>
      <x:c r="C17" s="11" t="str">
        <x:v>Fraude et sécurité financière</x:v>
      </x:c>
      <x:c r="D17" s="11" t="str">
        <x:v>Éditeur fictif</x:v>
      </x:c>
      <x:c r="E17" s="11" t="str">
        <x:v>Hébergement de démonstration</x:v>
      </x:c>
      <x:c r="F17" s="11" t="str">
        <x:v>Approuvé dans la simulation</x:v>
      </x:c>
      <x:c r="G17" s="11" t="str">
        <x:v>SRC-085</x:v>
      </x:c>
      <x:c r="H17" s="11" t="str">
        <x:v>SYNTHETIQUE</x:v>
      </x:c>
    </x:row>
    <x:row r="18" ht="28" customHeight="1">
      <x:c r="A18" s="10" t="str">
        <x:v>APP-013</x:v>
      </x:c>
      <x:c r="B18" s="10" t="str">
        <x:v>ContactHub</x:v>
      </x:c>
      <x:c r="C18" s="10" t="str">
        <x:v>Relation client et réclamations</x:v>
      </x:c>
      <x:c r="D18" s="10" t="str">
        <x:v>Éditeur fictif</x:v>
      </x:c>
      <x:c r="E18" s="10" t="str">
        <x:v>Hébergement de démonstration</x:v>
      </x:c>
      <x:c r="F18" s="10" t="str">
        <x:v>Approuvé dans la simulation</x:v>
      </x:c>
      <x:c r="G18" s="10" t="str">
        <x:v>SRC-085</x:v>
      </x:c>
      <x:c r="H18" s="10" t="str">
        <x:v>SYNTHETIQUE</x:v>
      </x:c>
    </x:row>
    <x:row r="19" ht="28" customHeight="1">
      <x:c r="A19" s="11" t="str">
        <x:v>APP-014</x:v>
      </x:c>
      <x:c r="B19" s="11" t="str">
        <x:v>FinancePilot</x:v>
      </x:c>
      <x:c r="C19" s="11" t="str">
        <x:v>Finance, achats et coût complet</x:v>
      </x:c>
      <x:c r="D19" s="11" t="str">
        <x:v>Éditeur fictif</x:v>
      </x:c>
      <x:c r="E19" s="11" t="str">
        <x:v>Hébergement de démonstration</x:v>
      </x:c>
      <x:c r="F19" s="11" t="str">
        <x:v>Approuvé dans la simulation</x:v>
      </x:c>
      <x:c r="G19" s="11" t="str">
        <x:v>SRC-085</x:v>
      </x:c>
      <x:c r="H19" s="11" t="str">
        <x:v>SYNTHETIQUE</x:v>
      </x:c>
    </x:row>
    <x:row r="20" ht="28" customHeight="1">
      <x:c r="A20" s="10" t="str">
        <x:v>APP-015</x:v>
      </x:c>
      <x:c r="B20" s="10" t="str">
        <x:v>FormationHub</x:v>
      </x:c>
      <x:c r="C20" s="10" t="str">
        <x:v>RH, compétences et adoption</x:v>
      </x:c>
      <x:c r="D20" s="10" t="str">
        <x:v>Éditeur fictif</x:v>
      </x:c>
      <x:c r="E20" s="10" t="str">
        <x:v>Hébergement de démonstration</x:v>
      </x:c>
      <x:c r="F20" s="10" t="str">
        <x:v>Approuvé dans la simulation</x:v>
      </x:c>
      <x:c r="G20" s="10" t="str">
        <x:v>SRC-085</x:v>
      </x:c>
      <x:c r="H20" s="10" t="str">
        <x:v>SYNTHETIQUE</x:v>
      </x:c>
    </x:row>
    <x:row r="21" ht="38" customHeight="1">
      <x:c r="A21" s="11" t="str">
        <x:v>APP-016</x:v>
      </x:c>
      <x:c r="B21" s="11" t="str">
        <x:v>ServiceDesk</x:v>
      </x:c>
      <x:c r="C21" s="11" t="str">
        <x:v>Applications, architecture et exploitation</x:v>
      </x:c>
      <x:c r="D21" s="11" t="str">
        <x:v>Éditeur fictif</x:v>
      </x:c>
      <x:c r="E21" s="11" t="str">
        <x:v>Hébergement de démonstration</x:v>
      </x:c>
      <x:c r="F21" s="11" t="str">
        <x:v>Approuvé dans la simulation</x:v>
      </x:c>
      <x:c r="G21" s="11" t="str">
        <x:v>SRC-085</x:v>
      </x:c>
      <x:c r="H21" s="11" t="str">
        <x:v>SYNTHETIQUE</x:v>
      </x:c>
    </x:row>
    <x:row r="22" ht="28" customHeight="1">
      <x:c r="A22" s="10" t="str">
        <x:v>APP-017</x:v>
      </x:c>
      <x:c r="B22" s="10" t="str">
        <x:v>CatalogueData</x:v>
      </x:c>
      <x:c r="C22" s="10" t="str">
        <x:v>Données et patrimoine documentaire</x:v>
      </x:c>
      <x:c r="D22" s="10" t="str">
        <x:v>Éditeur fictif</x:v>
      </x:c>
      <x:c r="E22" s="10" t="str">
        <x:v>Hébergement de démonstration</x:v>
      </x:c>
      <x:c r="F22" s="10" t="str">
        <x:v>Approuvé dans la simulation</x:v>
      </x:c>
      <x:c r="G22" s="10" t="str">
        <x:v>SRC-085</x:v>
      </x:c>
      <x:c r="H22" s="10" t="str">
        <x:v>SYNTHETIQUE</x:v>
      </x:c>
    </x:row>
    <x:row r="23" ht="28" customHeight="1">
      <x:c r="A23" s="11" t="str">
        <x:v>APP-018</x:v>
      </x:c>
      <x:c r="B23" s="11" t="str">
        <x:v>FabriqueIA</x:v>
      </x:c>
      <x:c r="C23" s="11" t="str">
        <x:v>IA, agents et usages réels</x:v>
      </x:c>
      <x:c r="D23" s="11" t="str">
        <x:v>Éditeur fictif</x:v>
      </x:c>
      <x:c r="E23" s="11" t="str">
        <x:v>Hébergement de démonstration</x:v>
      </x:c>
      <x:c r="F23" s="11" t="str">
        <x:v>Approuvé dans la simulation</x:v>
      </x:c>
      <x:c r="G23" s="11" t="str">
        <x:v>SRC-085</x:v>
      </x:c>
      <x:c r="H23" s="11" t="str">
        <x:v>SYNTHETIQUE</x:v>
      </x:c>
    </x:row>
    <x:row r="24" ht="38" customHeight="1">
      <x:c r="A24" s="10" t="str">
        <x:v>APP-019</x:v>
      </x:c>
      <x:c r="B24" s="10" t="str">
        <x:v>RisquesControles</x:v>
      </x:c>
      <x:c r="C24" s="10" t="str">
        <x:v>Gouvernance, conformité et cybersécurité</x:v>
      </x:c>
      <x:c r="D24" s="10" t="str">
        <x:v>Éditeur fictif</x:v>
      </x:c>
      <x:c r="E24" s="10" t="str">
        <x:v>Hébergement de démonstration</x:v>
      </x:c>
      <x:c r="F24" s="10" t="str">
        <x:v>Approuvé dans la simulation</x:v>
      </x:c>
      <x:c r="G24" s="10" t="str">
        <x:v>SRC-085</x:v>
      </x:c>
      <x:c r="H24" s="10" t="str">
        <x:v>SYNTHETIQUE</x:v>
      </x:c>
    </x:row>
    <x:row r="25" ht="38" customHeight="1">
      <x:c r="A25" s="11" t="str">
        <x:v>APP-020</x:v>
      </x:c>
      <x:c r="B25" s="11" t="str">
        <x:v>AtelierExpert</x:v>
      </x:c>
      <x:c r="C25" s="11" t="str">
        <x:v>Travail informel et connaissances tacites</x:v>
      </x:c>
      <x:c r="D25" s="11" t="str">
        <x:v>Éditeur fictif</x:v>
      </x:c>
      <x:c r="E25" s="11" t="str">
        <x:v>Hébergement de démonstration</x:v>
      </x:c>
      <x:c r="F25" s="11" t="str">
        <x:v>Approuvé dans la simulation</x:v>
      </x:c>
      <x:c r="G25" s="11" t="str">
        <x:v>SRC-085</x:v>
      </x:c>
      <x:c r="H25" s="11" t="str">
        <x:v>SYNTHETIQUE</x:v>
      </x:c>
    </x:row>
    <x:row r="26" ht="28" customHeight="1">
      <x:c r="A26" s="10" t="str">
        <x:v>APP-021</x:v>
      </x:c>
      <x:c r="B26" s="10" t="str">
        <x:v>BureauSuite</x:v>
      </x:c>
      <x:c r="C26" s="10" t="str">
        <x:v>Transverse</x:v>
      </x:c>
      <x:c r="D26" s="10" t="str">
        <x:v>Éditeur fictif</x:v>
      </x:c>
      <x:c r="E26" s="10" t="str">
        <x:v>Hébergement de démonstration</x:v>
      </x:c>
      <x:c r="F26" s="10" t="str">
        <x:v>Approuvé dans la simulation</x:v>
      </x:c>
      <x:c r="G26" s="10" t="str">
        <x:v>SRC-085</x:v>
      </x:c>
      <x:c r="H26" s="10" t="str">
        <x:v>SYNTHETIQUE</x:v>
      </x:c>
    </x:row>
    <x:row r="27" ht="28" customHeight="1">
      <x:c r="A27" s="11" t="str">
        <x:v>APP-022</x:v>
      </x:c>
      <x:c r="B27" s="11" t="str">
        <x:v>VenteAssist</x:v>
      </x:c>
      <x:c r="C27" s="11" t="str">
        <x:v>Transverse</x:v>
      </x:c>
      <x:c r="D27" s="11" t="str">
        <x:v>Éditeur fictif</x:v>
      </x:c>
      <x:c r="E27" s="11" t="str">
        <x:v>Hébergement de démonstration</x:v>
      </x:c>
      <x:c r="F27" s="11" t="str">
        <x:v>Approuvé dans la simulation</x:v>
      </x:c>
      <x:c r="G27" s="11" t="str">
        <x:v>SRC-085</x:v>
      </x:c>
      <x:c r="H27" s="11" t="str">
        <x:v>SYNTHETIQUE</x:v>
      </x:c>
    </x:row>
    <x:row r="28" ht="28" customHeight="1">
      <x:c r="A28" s="10" t="str">
        <x:v>APP-023</x:v>
      </x:c>
      <x:c r="B28" s="10" t="str">
        <x:v>PortailClient</x:v>
      </x:c>
      <x:c r="C28" s="10" t="str">
        <x:v>Transverse</x:v>
      </x:c>
      <x:c r="D28" s="10" t="str">
        <x:v>Éditeur fictif</x:v>
      </x:c>
      <x:c r="E28" s="10" t="str">
        <x:v>Hébergement de démonstration</x:v>
      </x:c>
      <x:c r="F28" s="10" t="str">
        <x:v>Approuvé dans la simulation</x:v>
      </x:c>
      <x:c r="G28" s="10" t="str">
        <x:v>SRC-085</x:v>
      </x:c>
      <x:c r="H28" s="10" t="str">
        <x:v>SYNTHETIQUE</x:v>
      </x:c>
    </x:row>
    <x:row r="29" ht="28" customHeight="1">
      <x:c r="A29" s="11" t="str">
        <x:v>APP-024</x:v>
      </x:c>
      <x:c r="B29" s="11" t="str">
        <x:v>AssistantWeb</x:v>
      </x:c>
      <x:c r="C29" s="11" t="str">
        <x:v>Transverse</x:v>
      </x:c>
      <x:c r="D29" s="11" t="str">
        <x:v>Éditeur fictif</x:v>
      </x:c>
      <x:c r="E29" s="11" t="str">
        <x:v>Externe non qualifié</x:v>
      </x:c>
      <x:c r="F29" s="11" t="str">
        <x:v>Non confirmé</x:v>
      </x:c>
      <x:c r="G29" s="11" t="str">
        <x:v>SRC-085</x:v>
      </x:c>
      <x:c r="H29" s="11" t="str">
        <x:v>SYNTHETIQUE</x:v>
      </x:c>
    </x:row>
  </x:sheetData>
  <x:pageMargins left="0.7" right="0.7" top="0.75" bottom="0.75" header="0.3" footer="0.3"/>
  <x:tableParts count="1">
    <x:tablePart xmlns:r="http://schemas.openxmlformats.org/officeDocument/2006/relationships" r:id="R814054968148444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40" hidden="0" customWidth="1"/>
    <x:col min="3" max="3" width="18" hidden="0" customWidth="1"/>
    <x:col min="4" max="4" width="20" hidden="0" customWidth="1"/>
    <x:col min="5" max="5" width="24" hidden="0" customWidth="1"/>
    <x:col min="6" max="6" width="45" hidden="0" customWidth="1"/>
    <x:col min="7" max="7" width="17" hidden="0" customWidth="1"/>
    <x:col min="8" max="8" width="17" hidden="0" customWidth="1"/>
    <x:col min="9" max="9" width="21" hidden="0" customWidth="1"/>
    <x:col min="10" max="10" width="24" hidden="0" customWidth="1"/>
    <x:col min="11" max="11" width="22" hidden="0" customWidth="1"/>
    <x:col min="12" max="12" width="37" hidden="0" customWidth="1"/>
    <x:col min="13" max="13" width="43" hidden="0" customWidth="1"/>
    <x:col min="14" max="14" width="17" hidden="0" customWidth="1"/>
    <x:col min="15" max="15" width="2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3" t="str">
        <x:v>IA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4" t="str">
        <x:v>DONNÉES SYNTHÉTIQUES — Assureur Démo France — août 2026 / état au 20 septembre 2026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42" customHeight="1">
      <x:c r="A5" s="8" t="str">
        <x:v>ai_id</x:v>
      </x:c>
      <x:c r="B5" s="8" t="str">
        <x:v>IA / fonction fictive</x:v>
      </x:c>
      <x:c r="C5" s="8" t="str">
        <x:v>activity_id</x:v>
      </x:c>
      <x:c r="D5" s="8" t="str">
        <x:v>application_id</x:v>
      </x:c>
      <x:c r="E5" s="8" t="str">
        <x:v>Catégorie</x:v>
      </x:c>
      <x:c r="F5" s="8" t="str">
        <x:v>État</x:v>
      </x:c>
      <x:c r="G5" s="8" t="str">
        <x:v>D observé</x:v>
      </x:c>
      <x:c r="H5" s="8" t="str">
        <x:v>D autorisé</x:v>
      </x:c>
      <x:c r="I5" s="8" t="str">
        <x:v>D cible proposé</x:v>
      </x:c>
      <x:c r="J5" s="8" t="str">
        <x:v>Licences / comptes</x:v>
      </x:c>
      <x:c r="K5" s="8" t="str">
        <x:v>Actifs mensuels</x:v>
      </x:c>
      <x:c r="L5" s="8" t="str">
        <x:v>Modèle</x:v>
      </x:c>
      <x:c r="M5" s="8" t="str">
        <x:v>Preuve usage</x:v>
      </x:c>
      <x:c r="N5" s="8" t="str">
        <x:v>source_id</x:v>
      </x:c>
      <x:c r="O5" s="8" t="str">
        <x:v>Nature</x:v>
      </x:c>
    </x:row>
    <x:row r="6" ht="28" customHeight="1">
      <x:c r="A6" s="10" t="str">
        <x:v>AI-001</x:v>
      </x:c>
      <x:c r="B6" s="10" t="str">
        <x:v>Copilote Sinistres</x:v>
      </x:c>
      <x:c r="C6" s="10" t="str">
        <x:v>ACT-011</x:v>
      </x:c>
      <x:c r="D6" s="10" t="str">
        <x:v>APP-006</x:v>
      </x:c>
      <x:c r="E6" s="10" t="str">
        <x:v>Productivité</x:v>
      </x:c>
      <x:c r="F6" s="10" t="str">
        <x:v>Production pilote</x:v>
      </x:c>
      <x:c r="G6" s="10" t="n">
        <x:v>2</x:v>
      </x:c>
      <x:c r="H6" s="10" t="n">
        <x:v>2</x:v>
      </x:c>
      <x:c r="I6" s="10" t="n">
        <x:v>3</x:v>
      </x:c>
      <x:c r="J6" s="10" t="n">
        <x:v>60</x:v>
      </x:c>
      <x:c r="K6" s="10" t="n">
        <x:v>42</x:v>
      </x:c>
      <x:c r="L6" s="10" t="str">
        <x:v>Modèle démo fictif v1</x:v>
      </x:c>
      <x:c r="M6" s="10" t="str">
        <x:v>Observé dans la simulation</x:v>
      </x:c>
      <x:c r="N6" s="10" t="str">
        <x:v>SRC-098</x:v>
      </x:c>
      <x:c r="O6" s="10" t="str">
        <x:v>SYNTHETIQUE</x:v>
      </x:c>
    </x:row>
    <x:row r="7" ht="28" customHeight="1">
      <x:c r="A7" s="11" t="str">
        <x:v>AI-002</x:v>
      </x:c>
      <x:c r="B7" s="11" t="str">
        <x:v>Agent Paiement</x:v>
      </x:c>
      <x:c r="C7" s="11" t="str">
        <x:v>ACT-012</x:v>
      </x:c>
      <x:c r="D7" s="11" t="str">
        <x:v>APP-006</x:v>
      </x:c>
      <x:c r="E7" s="11" t="str">
        <x:v>Sécurisation</x:v>
      </x:c>
      <x:c r="F7" s="11" t="str">
        <x:v>Pilote à restreindre</x:v>
      </x:c>
      <x:c r="G7" s="11" t="n">
        <x:v>4</x:v>
      </x:c>
      <x:c r="H7" s="11" t="n">
        <x:v>2</x:v>
      </x:c>
      <x:c r="I7" s="11" t="n">
        <x:v>2</x:v>
      </x:c>
      <x:c r="J7" s="11" t="n">
        <x:v>12</x:v>
      </x:c>
      <x:c r="K7" s="11" t="n">
        <x:v>12</x:v>
      </x:c>
      <x:c r="L7" s="11" t="str">
        <x:v>Modèle démo fictif v1</x:v>
      </x:c>
      <x:c r="M7" s="11" t="str">
        <x:v>Observé dans la simulation</x:v>
      </x:c>
      <x:c r="N7" s="11" t="str">
        <x:v>SRC-098</x:v>
      </x:c>
      <x:c r="O7" s="11" t="str">
        <x:v>SYNTHETIQUE</x:v>
      </x:c>
    </x:row>
    <x:row r="8" ht="28" customHeight="1">
      <x:c r="A8" s="10" t="str">
        <x:v>AI-003</x:v>
      </x:c>
      <x:c r="B8" s="10" t="str">
        <x:v>Résumé CRM</x:v>
      </x:c>
      <x:c r="C8" s="10" t="str">
        <x:v>ACT-005</x:v>
      </x:c>
      <x:c r="D8" s="10" t="str">
        <x:v>APP-003</x:v>
      </x:c>
      <x:c r="E8" s="10" t="str">
        <x:v>Go-to-market</x:v>
      </x:c>
      <x:c r="F8" s="10" t="str">
        <x:v>Production</x:v>
      </x:c>
      <x:c r="G8" s="10" t="n">
        <x:v>2</x:v>
      </x:c>
      <x:c r="H8" s="10" t="n">
        <x:v>2</x:v>
      </x:c>
      <x:c r="I8" s="10" t="n">
        <x:v>2</x:v>
      </x:c>
      <x:c r="J8" s="10" t="n">
        <x:v>180</x:v>
      </x:c>
      <x:c r="K8" s="10" t="n">
        <x:v>126</x:v>
      </x:c>
      <x:c r="L8" s="10" t="str">
        <x:v>Modèle démo fictif v1</x:v>
      </x:c>
      <x:c r="M8" s="10" t="str">
        <x:v>Observé dans la simulation</x:v>
      </x:c>
      <x:c r="N8" s="10" t="str">
        <x:v>SRC-098</x:v>
      </x:c>
      <x:c r="O8" s="10" t="str">
        <x:v>SYNTHETIQUE</x:v>
      </x:c>
    </x:row>
    <x:row r="9" ht="28" customHeight="1">
      <x:c r="A9" s="11" t="str">
        <x:v>AI-004</x:v>
      </x:c>
      <x:c r="B9" s="11" t="str">
        <x:v>Préparation Vente</x:v>
      </x:c>
      <x:c r="C9" s="11" t="str">
        <x:v>ACT-005</x:v>
      </x:c>
      <x:c r="D9" s="11" t="str">
        <x:v>APP-022</x:v>
      </x:c>
      <x:c r="E9" s="11" t="str">
        <x:v>Go-to-market</x:v>
      </x:c>
      <x:c r="F9" s="11" t="str">
        <x:v>Production</x:v>
      </x:c>
      <x:c r="G9" s="11" t="n">
        <x:v>2</x:v>
      </x:c>
      <x:c r="H9" s="11" t="n">
        <x:v>2</x:v>
      </x:c>
      <x:c r="I9" s="11" t="n">
        <x:v>2</x:v>
      </x:c>
      <x:c r="J9" s="11" t="n">
        <x:v>120</x:v>
      </x:c>
      <x:c r="K9" s="11" t="n">
        <x:v>84</x:v>
      </x:c>
      <x:c r="L9" s="11" t="str">
        <x:v>Modèle démo fictif v1</x:v>
      </x:c>
      <x:c r="M9" s="11" t="str">
        <x:v>Observé dans la simulation</x:v>
      </x:c>
      <x:c r="N9" s="11" t="str">
        <x:v>SRC-098</x:v>
      </x:c>
      <x:c r="O9" s="11" t="str">
        <x:v>SYNTHETIQUE</x:v>
      </x:c>
    </x:row>
    <x:row r="10" ht="28" customHeight="1">
      <x:c r="A10" s="10" t="str">
        <x:v>AI-005</x:v>
      </x:c>
      <x:c r="B10" s="10" t="str">
        <x:v>Assistant Garanties</x:v>
      </x:c>
      <x:c r="C10" s="10" t="str">
        <x:v>ACT-025</x:v>
      </x:c>
      <x:c r="D10" s="10" t="str">
        <x:v>APP-013</x:v>
      </x:c>
      <x:c r="E10" s="10" t="str">
        <x:v>Produit</x:v>
      </x:c>
      <x:c r="F10" s="10" t="str">
        <x:v>Production</x:v>
      </x:c>
      <x:c r="G10" s="10" t="n">
        <x:v>2</x:v>
      </x:c>
      <x:c r="H10" s="10" t="n">
        <x:v>2</x:v>
      </x:c>
      <x:c r="I10" s="10" t="n">
        <x:v>2</x:v>
      </x:c>
      <x:c r="J10" s="10" t="n">
        <x:v>100</x:v>
      </x:c>
      <x:c r="K10" s="10" t="n">
        <x:v>82</x:v>
      </x:c>
      <x:c r="L10" s="10" t="str">
        <x:v>Modèle démo fictif v1</x:v>
      </x:c>
      <x:c r="M10" s="10" t="str">
        <x:v>Observé dans la simulation</x:v>
      </x:c>
      <x:c r="N10" s="10" t="str">
        <x:v>SRC-098</x:v>
      </x:c>
      <x:c r="O10" s="10" t="str">
        <x:v>SYNTHETIQUE</x:v>
      </x:c>
    </x:row>
    <x:row r="11" ht="28" customHeight="1">
      <x:c r="A11" s="11" t="str">
        <x:v>AI-006</x:v>
      </x:c>
      <x:c r="B11" s="11" t="str">
        <x:v>Copilote Bureau</x:v>
      </x:c>
      <x:c r="C11" s="11" t="str">
        <x:v>ACT-039</x:v>
      </x:c>
      <x:c r="D11" s="11" t="str">
        <x:v>APP-021</x:v>
      </x:c>
      <x:c r="E11" s="11" t="str">
        <x:v>Confort</x:v>
      </x:c>
      <x:c r="F11" s="11" t="str">
        <x:v>Production</x:v>
      </x:c>
      <x:c r="G11" s="11" t="n">
        <x:v>2</x:v>
      </x:c>
      <x:c r="H11" s="11" t="n">
        <x:v>2</x:v>
      </x:c>
      <x:c r="I11" s="11" t="n">
        <x:v>2</x:v>
      </x:c>
      <x:c r="J11" s="11" t="n">
        <x:v>600</x:v>
      </x:c>
      <x:c r="K11" s="11" t="n">
        <x:v>210</x:v>
      </x:c>
      <x:c r="L11" s="11" t="str">
        <x:v>Modèle démo fictif v1</x:v>
      </x:c>
      <x:c r="M11" s="11" t="str">
        <x:v>Observé dans la simulation</x:v>
      </x:c>
      <x:c r="N11" s="11" t="str">
        <x:v>SRC-098</x:v>
      </x:c>
      <x:c r="O11" s="11" t="str">
        <x:v>SYNTHETIQUE</x:v>
      </x:c>
    </x:row>
    <x:row r="12" ht="28" customHeight="1">
      <x:c r="A12" s="10" t="str">
        <x:v>AI-007</x:v>
      </x:c>
      <x:c r="B12" s="10" t="str">
        <x:v>Aide Rejets Santé</x:v>
      </x:c>
      <x:c r="C12" s="10" t="str">
        <x:v>ACT-013</x:v>
      </x:c>
      <x:c r="D12" s="10" t="str">
        <x:v>APP-007</x:v>
      </x:c>
      <x:c r="E12" s="10" t="str">
        <x:v>Productivité</x:v>
      </x:c>
      <x:c r="F12" s="10" t="str">
        <x:v>Expérimental</x:v>
      </x:c>
      <x:c r="G12" s="10" t="n">
        <x:v>1</x:v>
      </x:c>
      <x:c r="H12" s="10" t="n">
        <x:v>1</x:v>
      </x:c>
      <x:c r="I12" s="10" t="n">
        <x:v>2</x:v>
      </x:c>
      <x:c r="J12" s="10" t="n">
        <x:v>20</x:v>
      </x:c>
      <x:c r="K12" s="10" t="n">
        <x:v>12</x:v>
      </x:c>
      <x:c r="L12" s="10" t="str">
        <x:v>Modèle démo fictif v1</x:v>
      </x:c>
      <x:c r="M12" s="10" t="str">
        <x:v>Observé dans la simulation</x:v>
      </x:c>
      <x:c r="N12" s="10" t="str">
        <x:v>SRC-098</x:v>
      </x:c>
      <x:c r="O12" s="10" t="str">
        <x:v>SYNTHETIQUE</x:v>
      </x:c>
    </x:row>
    <x:row r="13" ht="28" customHeight="1">
      <x:c r="A13" s="11" t="str">
        <x:v>AI-008</x:v>
      </x:c>
      <x:c r="B13" s="11" t="str">
        <x:v>Préparation Conseil Épargne</x:v>
      </x:c>
      <x:c r="C13" s="11" t="str">
        <x:v>ACT-015</x:v>
      </x:c>
      <x:c r="D13" s="11" t="str">
        <x:v>APP-008</x:v>
      </x:c>
      <x:c r="E13" s="11" t="str">
        <x:v>Go-to-market</x:v>
      </x:c>
      <x:c r="F13" s="11" t="str">
        <x:v>Pilote qualification à compléter</x:v>
      </x:c>
      <x:c r="G13" s="11" t="n">
        <x:v>2</x:v>
      </x:c>
      <x:c r="H13" s="11" t="n">
        <x:v>2</x:v>
      </x:c>
      <x:c r="I13" s="11" t="n">
        <x:v>2</x:v>
      </x:c>
      <x:c r="J13" s="11" t="n">
        <x:v>80</x:v>
      </x:c>
      <x:c r="K13" s="11" t="n">
        <x:v>48</x:v>
      </x:c>
      <x:c r="L13" s="11" t="str">
        <x:v>Modèle démo fictif v1</x:v>
      </x:c>
      <x:c r="M13" s="11" t="str">
        <x:v>Observé dans la simulation</x:v>
      </x:c>
      <x:c r="N13" s="11" t="str">
        <x:v>SRC-098</x:v>
      </x:c>
      <x:c r="O13" s="11" t="str">
        <x:v>SYNTHETIQUE</x:v>
      </x:c>
    </x:row>
    <x:row r="14" ht="28" customHeight="1">
      <x:c r="A14" s="10" t="str">
        <x:v>AI-009</x:v>
      </x:c>
      <x:c r="B14" s="10" t="str">
        <x:v>Orientation Assistance</x:v>
      </x:c>
      <x:c r="C14" s="10" t="str">
        <x:v>ACT-017</x:v>
      </x:c>
      <x:c r="D14" s="10" t="str">
        <x:v>APP-009</x:v>
      </x:c>
      <x:c r="E14" s="10" t="str">
        <x:v>Produit</x:v>
      </x:c>
      <x:c r="F14" s="10" t="str">
        <x:v>Production</x:v>
      </x:c>
      <x:c r="G14" s="10" t="n">
        <x:v>3</x:v>
      </x:c>
      <x:c r="H14" s="10" t="n">
        <x:v>3</x:v>
      </x:c>
      <x:c r="I14" s="10" t="n">
        <x:v>3</x:v>
      </x:c>
      <x:c r="J14" s="10" t="n">
        <x:v>65</x:v>
      </x:c>
      <x:c r="K14" s="10" t="n">
        <x:v>58</x:v>
      </x:c>
      <x:c r="L14" s="10" t="str">
        <x:v>Modèle démo fictif v1</x:v>
      </x:c>
      <x:c r="M14" s="10" t="str">
        <x:v>Observé dans la simulation</x:v>
      </x:c>
      <x:c r="N14" s="10" t="str">
        <x:v>SRC-098</x:v>
      </x:c>
      <x:c r="O14" s="10" t="str">
        <x:v>SYNTHETIQUE</x:v>
      </x:c>
    </x:row>
    <x:row r="15" ht="28" customHeight="1">
      <x:c r="A15" s="11" t="str">
        <x:v>AI-010</x:v>
      </x:c>
      <x:c r="B15" s="11" t="str">
        <x:v>Lecture Traités</x:v>
      </x:c>
      <x:c r="C15" s="11" t="str">
        <x:v>ACT-019</x:v>
      </x:c>
      <x:c r="D15" s="11" t="str">
        <x:v>APP-010</x:v>
      </x:c>
      <x:c r="E15" s="11" t="str">
        <x:v>Sécurisation</x:v>
      </x:c>
      <x:c r="F15" s="11" t="str">
        <x:v>Pilote</x:v>
      </x:c>
      <x:c r="G15" s="11" t="n">
        <x:v>2</x:v>
      </x:c>
      <x:c r="H15" s="11" t="n">
        <x:v>2</x:v>
      </x:c>
      <x:c r="I15" s="11" t="n">
        <x:v>3</x:v>
      </x:c>
      <x:c r="J15" s="11" t="n">
        <x:v>15</x:v>
      </x:c>
      <x:c r="K15" s="11" t="n">
        <x:v>10</x:v>
      </x:c>
      <x:c r="L15" s="11" t="str">
        <x:v>Modèle démo fictif v1</x:v>
      </x:c>
      <x:c r="M15" s="11" t="str">
        <x:v>Observé dans la simulation</x:v>
      </x:c>
      <x:c r="N15" s="11" t="str">
        <x:v>SRC-098</x:v>
      </x:c>
      <x:c r="O15" s="11" t="str">
        <x:v>SYNTHETIQUE</x:v>
      </x:c>
    </x:row>
    <x:row r="16" ht="28" customHeight="1">
      <x:c r="A16" s="10" t="str">
        <x:v>AI-011</x:v>
      </x:c>
      <x:c r="B16" s="10" t="str">
        <x:v>Synthèse Actuariat</x:v>
      </x:c>
      <x:c r="C16" s="10" t="str">
        <x:v>ACT-021</x:v>
      </x:c>
      <x:c r="D16" s="10" t="str">
        <x:v>APP-011</x:v>
      </x:c>
      <x:c r="E16" s="10" t="str">
        <x:v>Stratégique</x:v>
      </x:c>
      <x:c r="F16" s="10" t="str">
        <x:v>Pilote</x:v>
      </x:c>
      <x:c r="G16" s="10" t="n">
        <x:v>2</x:v>
      </x:c>
      <x:c r="H16" s="10" t="n">
        <x:v>2</x:v>
      </x:c>
      <x:c r="I16" s="10" t="n">
        <x:v>3</x:v>
      </x:c>
      <x:c r="J16" s="10" t="n">
        <x:v>20</x:v>
      </x:c>
      <x:c r="K16" s="10" t="n">
        <x:v>12</x:v>
      </x:c>
      <x:c r="L16" s="10" t="str">
        <x:v>Modèle démo fictif v1</x:v>
      </x:c>
      <x:c r="M16" s="10" t="str">
        <x:v>Observé dans la simulation</x:v>
      </x:c>
      <x:c r="N16" s="10" t="str">
        <x:v>SRC-098</x:v>
      </x:c>
      <x:c r="O16" s="10" t="str">
        <x:v>SYNTHETIQUE</x:v>
      </x:c>
    </x:row>
    <x:row r="17" ht="28" customHeight="1">
      <x:c r="A17" s="11" t="str">
        <x:v>AI-012</x:v>
      </x:c>
      <x:c r="B17" s="11" t="str">
        <x:v>Score Alerte Fraude</x:v>
      </x:c>
      <x:c r="C17" s="11" t="str">
        <x:v>ACT-023</x:v>
      </x:c>
      <x:c r="D17" s="11" t="str">
        <x:v>APP-012</x:v>
      </x:c>
      <x:c r="E17" s="11" t="str">
        <x:v>Sécurisation</x:v>
      </x:c>
      <x:c r="F17" s="11" t="str">
        <x:v>Production</x:v>
      </x:c>
      <x:c r="G17" s="11" t="n">
        <x:v>3</x:v>
      </x:c>
      <x:c r="H17" s="11" t="n">
        <x:v>3</x:v>
      </x:c>
      <x:c r="I17" s="11" t="n">
        <x:v>3</x:v>
      </x:c>
      <x:c r="J17" s="11" t="n">
        <x:v>25</x:v>
      </x:c>
      <x:c r="K17" s="11" t="n">
        <x:v>24</x:v>
      </x:c>
      <x:c r="L17" s="11" t="str">
        <x:v>Modèle démo fictif v1</x:v>
      </x:c>
      <x:c r="M17" s="11" t="str">
        <x:v>Observé dans la simulation</x:v>
      </x:c>
      <x:c r="N17" s="11" t="str">
        <x:v>SRC-098</x:v>
      </x:c>
      <x:c r="O17" s="11" t="str">
        <x:v>SYNTHETIQUE</x:v>
      </x:c>
    </x:row>
    <x:row r="18" ht="28" customHeight="1">
      <x:c r="A18" s="10" t="str">
        <x:v>AI-013</x:v>
      </x:c>
      <x:c r="B18" s="10" t="str">
        <x:v>Tri Tickets SI</x:v>
      </x:c>
      <x:c r="C18" s="10" t="str">
        <x:v>ACT-031</x:v>
      </x:c>
      <x:c r="D18" s="10" t="str">
        <x:v>APP-016</x:v>
      </x:c>
      <x:c r="E18" s="10" t="str">
        <x:v>Productivité</x:v>
      </x:c>
      <x:c r="F18" s="10" t="str">
        <x:v>Production</x:v>
      </x:c>
      <x:c r="G18" s="10" t="n">
        <x:v>2</x:v>
      </x:c>
      <x:c r="H18" s="10" t="n">
        <x:v>2</x:v>
      </x:c>
      <x:c r="I18" s="10" t="n">
        <x:v>3</x:v>
      </x:c>
      <x:c r="J18" s="10" t="n">
        <x:v>40</x:v>
      </x:c>
      <x:c r="K18" s="10" t="n">
        <x:v>34</x:v>
      </x:c>
      <x:c r="L18" s="10" t="str">
        <x:v>Modèle démo fictif v1</x:v>
      </x:c>
      <x:c r="M18" s="10" t="str">
        <x:v>Observé dans la simulation</x:v>
      </x:c>
      <x:c r="N18" s="10" t="str">
        <x:v>SRC-098</x:v>
      </x:c>
      <x:c r="O18" s="10" t="str">
        <x:v>SYNTHETIQUE</x:v>
      </x:c>
    </x:row>
    <x:row r="19" ht="28" customHeight="1">
      <x:c r="A19" s="11" t="str">
        <x:v>AI-014</x:v>
      </x:c>
      <x:c r="B19" s="11" t="str">
        <x:v>Description Données</x:v>
      </x:c>
      <x:c r="C19" s="11" t="str">
        <x:v>ACT-033</x:v>
      </x:c>
      <x:c r="D19" s="11" t="str">
        <x:v>APP-017</x:v>
      </x:c>
      <x:c r="E19" s="11" t="str">
        <x:v>Productivité</x:v>
      </x:c>
      <x:c r="F19" s="11" t="str">
        <x:v>Pilote</x:v>
      </x:c>
      <x:c r="G19" s="11" t="n">
        <x:v>2</x:v>
      </x:c>
      <x:c r="H19" s="11" t="n">
        <x:v>2</x:v>
      </x:c>
      <x:c r="I19" s="11" t="n">
        <x:v>2</x:v>
      </x:c>
      <x:c r="J19" s="11" t="n">
        <x:v>15</x:v>
      </x:c>
      <x:c r="K19" s="11" t="n">
        <x:v>9</x:v>
      </x:c>
      <x:c r="L19" s="11" t="str">
        <x:v>Modèle démo fictif v1</x:v>
      </x:c>
      <x:c r="M19" s="11" t="str">
        <x:v>Observé dans la simulation</x:v>
      </x:c>
      <x:c r="N19" s="11" t="str">
        <x:v>SRC-098</x:v>
      </x:c>
      <x:c r="O19" s="11" t="str">
        <x:v>SYNTHETIQUE</x:v>
      </x:c>
    </x:row>
    <x:row r="20" ht="28" customHeight="1">
      <x:c r="A20" s="10" t="str">
        <x:v>AI-015</x:v>
      </x:c>
      <x:c r="B20" s="10" t="str">
        <x:v>Explication Offre Client</x:v>
      </x:c>
      <x:c r="C20" s="10" t="str">
        <x:v>ACT-003</x:v>
      </x:c>
      <x:c r="D20" s="10" t="str">
        <x:v>APP-023</x:v>
      </x:c>
      <x:c r="E20" s="10" t="str">
        <x:v>Produit</x:v>
      </x:c>
      <x:c r="F20" s="10" t="str">
        <x:v>Pilote</x:v>
      </x:c>
      <x:c r="G20" s="10" t="n">
        <x:v>1</x:v>
      </x:c>
      <x:c r="H20" s="10" t="n">
        <x:v>1</x:v>
      </x:c>
      <x:c r="I20" s="10" t="n">
        <x:v>2</x:v>
      </x:c>
      <x:c r="J20" s="10" t="n">
        <x:v>10</x:v>
      </x:c>
      <x:c r="K20" s="10" t="n">
        <x:v>6</x:v>
      </x:c>
      <x:c r="L20" s="10" t="str">
        <x:v>Modèle démo fictif v1</x:v>
      </x:c>
      <x:c r="M20" s="10" t="str">
        <x:v>Observé dans la simulation</x:v>
      </x:c>
      <x:c r="N20" s="10" t="str">
        <x:v>SRC-098</x:v>
      </x:c>
      <x:c r="O20" s="10" t="str">
        <x:v>SYNTHETIQUE</x:v>
      </x:c>
    </x:row>
    <x:row r="21" ht="28" customHeight="1">
      <x:c r="A21" s="11" t="str">
        <x:v>AI-016</x:v>
      </x:c>
      <x:c r="B21" s="11" t="str">
        <x:v>Assistant Web Externe</x:v>
      </x:c>
      <x:c r="C21" s="11" t="str">
        <x:v>ACT-039</x:v>
      </x:c>
      <x:c r="D21" s="11" t="str">
        <x:v>APP-024</x:v>
      </x:c>
      <x:c r="E21" s="11" t="str">
        <x:v>Confort</x:v>
      </x:c>
      <x:c r="F21" s="11" t="str">
        <x:v>Usage déclaré à qualifier</x:v>
      </x:c>
      <x:c r="G21" s="11" t="n">
        <x:v>2</x:v>
      </x:c>
      <x:c r="H21" s="11" t="n">
        <x:v>0</x:v>
      </x:c>
      <x:c r="I21" s="11" t="n">
        <x:v>1</x:v>
      </x:c>
      <x:c r="J21" s="11" t="n">
        <x:v>8</x:v>
      </x:c>
      <x:c r="K21" s="11" t="n">
        <x:v>8</x:v>
      </x:c>
      <x:c r="L21" s="11" t="str">
        <x:v>Non communiqué</x:v>
      </x:c>
      <x:c r="M21" s="11" t="str">
        <x:v>Déclaré, non confirmé</x:v>
      </x:c>
      <x:c r="N21" s="11" t="str">
        <x:v>SRC-098</x:v>
      </x:c>
      <x:c r="O21" s="11" t="str">
        <x:v>SYNTHETIQUE</x:v>
      </x:c>
    </x:row>
  </x:sheetData>
  <x:pageMargins left="0.7" right="0.7" top="0.75" bottom="0.75" header="0.3" footer="0.3"/>
  <x:tableParts count="1">
    <x:tablePart xmlns:r="http://schemas.openxmlformats.org/officeDocument/2006/relationships" r:id="Rff00e19b66a74d1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30" hidden="0" customWidth="1"/>
    <x:col min="5" max="5" width="16" hidden="0" customWidth="1"/>
    <x:col min="6" max="6" width="20" hidden="0" customWidth="1"/>
    <x:col min="7" max="7" width="18" hidden="0" customWidth="1"/>
    <x:col min="8" max="8" width="73" hidden="0" customWidth="1"/>
    <x:col min="9" max="9" width="2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Coûts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" t="str">
        <x:v>DONNÉES SYNTHÉTIQUES — Assureur Démo France — août 2026 / état au 20 septembre 2026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42" customHeight="1">
      <x:c r="A5" s="8" t="str">
        <x:v>cost_id</x:v>
      </x:c>
      <x:c r="B5" s="8" t="str">
        <x:v>ai_id</x:v>
      </x:c>
      <x:c r="C5" s="8" t="str">
        <x:v>Mois</x:v>
      </x:c>
      <x:c r="D5" s="8" t="str">
        <x:v>Poste</x:v>
      </x:c>
      <x:c r="E5" s="8" t="str">
        <x:v>Devise</x:v>
      </x:c>
      <x:c r="F5" s="8" t="str">
        <x:v>Montant EUR</x:v>
      </x:c>
      <x:c r="G5" s="8" t="str">
        <x:v>source_id</x:v>
      </x:c>
      <x:c r="H5" s="8" t="str">
        <x:v>Règle d’imputation</x:v>
      </x:c>
      <x:c r="I5" s="8" t="str">
        <x:v>Nature</x:v>
      </x:c>
    </x:row>
    <x:row r="6" ht="28" customHeight="1">
      <x:c r="A6" s="10" t="str">
        <x:v>COST-001</x:v>
      </x:c>
      <x:c r="B6" s="10" t="str">
        <x:v>AI-001</x:v>
      </x:c>
      <x:c r="C6" s="10" t="str">
        <x:v>2026-08</x:v>
      </x:c>
      <x:c r="D6" s="10" t="str">
        <x:v>Technologie</x:v>
      </x:c>
      <x:c r="E6" s="10" t="str">
        <x:v>EUR</x:v>
      </x:c>
      <x:c r="F6" s="14" t="n">
        <x:v>3400</x:v>
      </x:c>
      <x:c r="G6" s="10" t="str">
        <x:v>SRC-075</x:v>
      </x:c>
      <x:c r="H6" s="10" t="str">
        <x:v>Coût imputé au mois; sans annualisation ni double compte</x:v>
      </x:c>
      <x:c r="I6" s="10" t="str">
        <x:v>SYNTHETIQUE</x:v>
      </x:c>
    </x:row>
    <x:row r="7" ht="28" customHeight="1">
      <x:c r="A7" s="11" t="str">
        <x:v>COST-002</x:v>
      </x:c>
      <x:c r="B7" s="11" t="str">
        <x:v>AI-001</x:v>
      </x:c>
      <x:c r="C7" s="11" t="str">
        <x:v>2026-08</x:v>
      </x:c>
      <x:c r="D7" s="11" t="str">
        <x:v>Données</x:v>
      </x:c>
      <x:c r="E7" s="11" t="str">
        <x:v>EUR</x:v>
      </x:c>
      <x:c r="F7" s="15" t="n">
        <x:v>425</x:v>
      </x:c>
      <x:c r="G7" s="11" t="str">
        <x:v>SRC-076</x:v>
      </x:c>
      <x:c r="H7" s="11" t="str">
        <x:v>Coût imputé au mois; sans annualisation ni double compte</x:v>
      </x:c>
      <x:c r="I7" s="11" t="str">
        <x:v>SYNTHETIQUE</x:v>
      </x:c>
    </x:row>
    <x:row r="8" ht="28" customHeight="1">
      <x:c r="A8" s="10" t="str">
        <x:v>COST-003</x:v>
      </x:c>
      <x:c r="B8" s="10" t="str">
        <x:v>AI-001</x:v>
      </x:c>
      <x:c r="C8" s="10" t="str">
        <x:v>2026-08</x:v>
      </x:c>
      <x:c r="D8" s="10" t="str">
        <x:v>Intégration</x:v>
      </x:c>
      <x:c r="E8" s="10" t="str">
        <x:v>EUR</x:v>
      </x:c>
      <x:c r="F8" s="14" t="n">
        <x:v>1700</x:v>
      </x:c>
      <x:c r="G8" s="10" t="str">
        <x:v>SRC-077</x:v>
      </x:c>
      <x:c r="H8" s="10" t="str">
        <x:v>Coût imputé au mois; sans annualisation ni double compte</x:v>
      </x:c>
      <x:c r="I8" s="10" t="str">
        <x:v>SYNTHETIQUE</x:v>
      </x:c>
    </x:row>
    <x:row r="9" ht="28" customHeight="1">
      <x:c r="A9" s="11" t="str">
        <x:v>COST-004</x:v>
      </x:c>
      <x:c r="B9" s="11" t="str">
        <x:v>AI-001</x:v>
      </x:c>
      <x:c r="C9" s="11" t="str">
        <x:v>2026-08</x:v>
      </x:c>
      <x:c r="D9" s="11" t="str">
        <x:v>Sécurité et conformité</x:v>
      </x:c>
      <x:c r="E9" s="11" t="str">
        <x:v>EUR</x:v>
      </x:c>
      <x:c r="F9" s="15" t="n">
        <x:v>425</x:v>
      </x:c>
      <x:c r="G9" s="11" t="str">
        <x:v>SRC-078</x:v>
      </x:c>
      <x:c r="H9" s="11" t="str">
        <x:v>Coût imputé au mois; sans annualisation ni double compte</x:v>
      </x:c>
      <x:c r="I9" s="11" t="str">
        <x:v>SYNTHETIQUE</x:v>
      </x:c>
    </x:row>
    <x:row r="10" ht="28" customHeight="1">
      <x:c r="A10" s="10" t="str">
        <x:v>COST-005</x:v>
      </x:c>
      <x:c r="B10" s="10" t="str">
        <x:v>AI-001</x:v>
      </x:c>
      <x:c r="C10" s="10" t="str">
        <x:v>2026-08</x:v>
      </x:c>
      <x:c r="D10" s="10" t="str">
        <x:v>Humain</x:v>
      </x:c>
      <x:c r="E10" s="10" t="str">
        <x:v>EUR</x:v>
      </x:c>
      <x:c r="F10" s="14" t="n">
        <x:v>1700</x:v>
      </x:c>
      <x:c r="G10" s="10" t="str">
        <x:v>SRC-078</x:v>
      </x:c>
      <x:c r="H10" s="10" t="str">
        <x:v>Coût imputé au mois; sans annualisation ni double compte</x:v>
      </x:c>
      <x:c r="I10" s="10" t="str">
        <x:v>SYNTHETIQUE</x:v>
      </x:c>
    </x:row>
    <x:row r="11" ht="28" customHeight="1">
      <x:c r="A11" s="11" t="str">
        <x:v>COST-006</x:v>
      </x:c>
      <x:c r="B11" s="11" t="str">
        <x:v>AI-001</x:v>
      </x:c>
      <x:c r="C11" s="11" t="str">
        <x:v>2026-08</x:v>
      </x:c>
      <x:c r="D11" s="11" t="str">
        <x:v>Organisation</x:v>
      </x:c>
      <x:c r="E11" s="11" t="str">
        <x:v>EUR</x:v>
      </x:c>
      <x:c r="F11" s="15" t="n">
        <x:v>340</x:v>
      </x:c>
      <x:c r="G11" s="11" t="str">
        <x:v>SRC-078</x:v>
      </x:c>
      <x:c r="H11" s="11" t="str">
        <x:v>Coût imputé au mois; sans annualisation ni double compte</x:v>
      </x:c>
      <x:c r="I11" s="11" t="str">
        <x:v>SYNTHETIQUE</x:v>
      </x:c>
    </x:row>
    <x:row r="12" ht="28" customHeight="1">
      <x:c r="A12" s="10" t="str">
        <x:v>COST-007</x:v>
      </x:c>
      <x:c r="B12" s="10" t="str">
        <x:v>AI-001</x:v>
      </x:c>
      <x:c r="C12" s="10" t="str">
        <x:v>2026-08</x:v>
      </x:c>
      <x:c r="D12" s="10" t="str">
        <x:v>Run</x:v>
      </x:c>
      <x:c r="E12" s="10" t="str">
        <x:v>EUR</x:v>
      </x:c>
      <x:c r="F12" s="14" t="n">
        <x:v>510</x:v>
      </x:c>
      <x:c r="G12" s="10" t="str">
        <x:v>SRC-078</x:v>
      </x:c>
      <x:c r="H12" s="10" t="str">
        <x:v>Coût imputé au mois; sans annualisation ni double compte</x:v>
      </x:c>
      <x:c r="I12" s="10" t="str">
        <x:v>SYNTHETIQUE</x:v>
      </x:c>
    </x:row>
    <x:row r="13" ht="28" customHeight="1">
      <x:c r="A13" s="11" t="str">
        <x:v>COST-008</x:v>
      </x:c>
      <x:c r="B13" s="11" t="str">
        <x:v>AI-002</x:v>
      </x:c>
      <x:c r="C13" s="11" t="str">
        <x:v>2026-08</x:v>
      </x:c>
      <x:c r="D13" s="11" t="str">
        <x:v>Technologie</x:v>
      </x:c>
      <x:c r="E13" s="11" t="str">
        <x:v>EUR</x:v>
      </x:c>
      <x:c r="F13" s="15" t="n">
        <x:v>1680</x:v>
      </x:c>
      <x:c r="G13" s="11" t="str">
        <x:v>SRC-075</x:v>
      </x:c>
      <x:c r="H13" s="11" t="str">
        <x:v>Coût imputé au mois; sans annualisation ni double compte</x:v>
      </x:c>
      <x:c r="I13" s="11" t="str">
        <x:v>SYNTHETIQUE</x:v>
      </x:c>
    </x:row>
    <x:row r="14" ht="28" customHeight="1">
      <x:c r="A14" s="10" t="str">
        <x:v>COST-009</x:v>
      </x:c>
      <x:c r="B14" s="10" t="str">
        <x:v>AI-002</x:v>
      </x:c>
      <x:c r="C14" s="10" t="str">
        <x:v>2026-08</x:v>
      </x:c>
      <x:c r="D14" s="10" t="str">
        <x:v>Données</x:v>
      </x:c>
      <x:c r="E14" s="10" t="str">
        <x:v>EUR</x:v>
      </x:c>
      <x:c r="F14" s="14" t="n">
        <x:v>210</x:v>
      </x:c>
      <x:c r="G14" s="10" t="str">
        <x:v>SRC-076</x:v>
      </x:c>
      <x:c r="H14" s="10" t="str">
        <x:v>Coût imputé au mois; sans annualisation ni double compte</x:v>
      </x:c>
      <x:c r="I14" s="10" t="str">
        <x:v>SYNTHETIQUE</x:v>
      </x:c>
    </x:row>
    <x:row r="15" ht="28" customHeight="1">
      <x:c r="A15" s="11" t="str">
        <x:v>COST-010</x:v>
      </x:c>
      <x:c r="B15" s="11" t="str">
        <x:v>AI-002</x:v>
      </x:c>
      <x:c r="C15" s="11" t="str">
        <x:v>2026-08</x:v>
      </x:c>
      <x:c r="D15" s="11" t="str">
        <x:v>Intégration</x:v>
      </x:c>
      <x:c r="E15" s="11" t="str">
        <x:v>EUR</x:v>
      </x:c>
      <x:c r="F15" s="15" t="n">
        <x:v>840</x:v>
      </x:c>
      <x:c r="G15" s="11" t="str">
        <x:v>SRC-077</x:v>
      </x:c>
      <x:c r="H15" s="11" t="str">
        <x:v>Coût imputé au mois; sans annualisation ni double compte</x:v>
      </x:c>
      <x:c r="I15" s="11" t="str">
        <x:v>SYNTHETIQUE</x:v>
      </x:c>
    </x:row>
    <x:row r="16" ht="28" customHeight="1">
      <x:c r="A16" s="10" t="str">
        <x:v>COST-011</x:v>
      </x:c>
      <x:c r="B16" s="10" t="str">
        <x:v>AI-002</x:v>
      </x:c>
      <x:c r="C16" s="10" t="str">
        <x:v>2026-08</x:v>
      </x:c>
      <x:c r="D16" s="10" t="str">
        <x:v>Sécurité et conformité</x:v>
      </x:c>
      <x:c r="E16" s="10" t="str">
        <x:v>EUR</x:v>
      </x:c>
      <x:c r="F16" s="14" t="n">
        <x:v>210</x:v>
      </x:c>
      <x:c r="G16" s="10" t="str">
        <x:v>SRC-078</x:v>
      </x:c>
      <x:c r="H16" s="10" t="str">
        <x:v>Coût imputé au mois; sans annualisation ni double compte</x:v>
      </x:c>
      <x:c r="I16" s="10" t="str">
        <x:v>SYNTHETIQUE</x:v>
      </x:c>
    </x:row>
    <x:row r="17" ht="28" customHeight="1">
      <x:c r="A17" s="11" t="str">
        <x:v>COST-012</x:v>
      </x:c>
      <x:c r="B17" s="11" t="str">
        <x:v>AI-002</x:v>
      </x:c>
      <x:c r="C17" s="11" t="str">
        <x:v>2026-08</x:v>
      </x:c>
      <x:c r="D17" s="11" t="str">
        <x:v>Humain</x:v>
      </x:c>
      <x:c r="E17" s="11" t="str">
        <x:v>EUR</x:v>
      </x:c>
      <x:c r="F17" s="15" t="n">
        <x:v>840</x:v>
      </x:c>
      <x:c r="G17" s="11" t="str">
        <x:v>SRC-078</x:v>
      </x:c>
      <x:c r="H17" s="11" t="str">
        <x:v>Coût imputé au mois; sans annualisation ni double compte</x:v>
      </x:c>
      <x:c r="I17" s="11" t="str">
        <x:v>SYNTHETIQUE</x:v>
      </x:c>
    </x:row>
    <x:row r="18" ht="28" customHeight="1">
      <x:c r="A18" s="10" t="str">
        <x:v>COST-013</x:v>
      </x:c>
      <x:c r="B18" s="10" t="str">
        <x:v>AI-002</x:v>
      </x:c>
      <x:c r="C18" s="10" t="str">
        <x:v>2026-08</x:v>
      </x:c>
      <x:c r="D18" s="10" t="str">
        <x:v>Organisation</x:v>
      </x:c>
      <x:c r="E18" s="10" t="str">
        <x:v>EUR</x:v>
      </x:c>
      <x:c r="F18" s="14" t="n">
        <x:v>168</x:v>
      </x:c>
      <x:c r="G18" s="10" t="str">
        <x:v>SRC-078</x:v>
      </x:c>
      <x:c r="H18" s="10" t="str">
        <x:v>Coût imputé au mois; sans annualisation ni double compte</x:v>
      </x:c>
      <x:c r="I18" s="10" t="str">
        <x:v>SYNTHETIQUE</x:v>
      </x:c>
    </x:row>
    <x:row r="19" ht="28" customHeight="1">
      <x:c r="A19" s="11" t="str">
        <x:v>COST-014</x:v>
      </x:c>
      <x:c r="B19" s="11" t="str">
        <x:v>AI-002</x:v>
      </x:c>
      <x:c r="C19" s="11" t="str">
        <x:v>2026-08</x:v>
      </x:c>
      <x:c r="D19" s="11" t="str">
        <x:v>Run</x:v>
      </x:c>
      <x:c r="E19" s="11" t="str">
        <x:v>EUR</x:v>
      </x:c>
      <x:c r="F19" s="15" t="n">
        <x:v>252</x:v>
      </x:c>
      <x:c r="G19" s="11" t="str">
        <x:v>SRC-078</x:v>
      </x:c>
      <x:c r="H19" s="11" t="str">
        <x:v>Coût imputé au mois; sans annualisation ni double compte</x:v>
      </x:c>
      <x:c r="I19" s="11" t="str">
        <x:v>SYNTHETIQUE</x:v>
      </x:c>
    </x:row>
    <x:row r="20" ht="28" customHeight="1">
      <x:c r="A20" s="10" t="str">
        <x:v>COST-015</x:v>
      </x:c>
      <x:c r="B20" s="10" t="str">
        <x:v>AI-003</x:v>
      </x:c>
      <x:c r="C20" s="10" t="str">
        <x:v>2026-08</x:v>
      </x:c>
      <x:c r="D20" s="10" t="str">
        <x:v>Technologie</x:v>
      </x:c>
      <x:c r="E20" s="10" t="str">
        <x:v>EUR</x:v>
      </x:c>
      <x:c r="F20" s="14" t="n">
        <x:v>2480</x:v>
      </x:c>
      <x:c r="G20" s="10" t="str">
        <x:v>SRC-075</x:v>
      </x:c>
      <x:c r="H20" s="10" t="str">
        <x:v>Coût imputé au mois; sans annualisation ni double compte</x:v>
      </x:c>
      <x:c r="I20" s="10" t="str">
        <x:v>SYNTHETIQUE</x:v>
      </x:c>
    </x:row>
    <x:row r="21" ht="28" customHeight="1">
      <x:c r="A21" s="11" t="str">
        <x:v>COST-016</x:v>
      </x:c>
      <x:c r="B21" s="11" t="str">
        <x:v>AI-003</x:v>
      </x:c>
      <x:c r="C21" s="11" t="str">
        <x:v>2026-08</x:v>
      </x:c>
      <x:c r="D21" s="11" t="str">
        <x:v>Données</x:v>
      </x:c>
      <x:c r="E21" s="11" t="str">
        <x:v>EUR</x:v>
      </x:c>
      <x:c r="F21" s="15" t="n">
        <x:v>310</x:v>
      </x:c>
      <x:c r="G21" s="11" t="str">
        <x:v>SRC-076</x:v>
      </x:c>
      <x:c r="H21" s="11" t="str">
        <x:v>Coût imputé au mois; sans annualisation ni double compte</x:v>
      </x:c>
      <x:c r="I21" s="11" t="str">
        <x:v>SYNTHETIQUE</x:v>
      </x:c>
    </x:row>
    <x:row r="22" ht="28" customHeight="1">
      <x:c r="A22" s="10" t="str">
        <x:v>COST-017</x:v>
      </x:c>
      <x:c r="B22" s="10" t="str">
        <x:v>AI-003</x:v>
      </x:c>
      <x:c r="C22" s="10" t="str">
        <x:v>2026-08</x:v>
      </x:c>
      <x:c r="D22" s="10" t="str">
        <x:v>Intégration</x:v>
      </x:c>
      <x:c r="E22" s="10" t="str">
        <x:v>EUR</x:v>
      </x:c>
      <x:c r="F22" s="14" t="n">
        <x:v>1240</x:v>
      </x:c>
      <x:c r="G22" s="10" t="str">
        <x:v>SRC-077</x:v>
      </x:c>
      <x:c r="H22" s="10" t="str">
        <x:v>Coût imputé au mois; sans annualisation ni double compte</x:v>
      </x:c>
      <x:c r="I22" s="10" t="str">
        <x:v>SYNTHETIQUE</x:v>
      </x:c>
    </x:row>
    <x:row r="23" ht="28" customHeight="1">
      <x:c r="A23" s="11" t="str">
        <x:v>COST-018</x:v>
      </x:c>
      <x:c r="B23" s="11" t="str">
        <x:v>AI-003</x:v>
      </x:c>
      <x:c r="C23" s="11" t="str">
        <x:v>2026-08</x:v>
      </x:c>
      <x:c r="D23" s="11" t="str">
        <x:v>Sécurité et conformité</x:v>
      </x:c>
      <x:c r="E23" s="11" t="str">
        <x:v>EUR</x:v>
      </x:c>
      <x:c r="F23" s="15" t="n">
        <x:v>310</x:v>
      </x:c>
      <x:c r="G23" s="11" t="str">
        <x:v>SRC-078</x:v>
      </x:c>
      <x:c r="H23" s="11" t="str">
        <x:v>Coût imputé au mois; sans annualisation ni double compte</x:v>
      </x:c>
      <x:c r="I23" s="11" t="str">
        <x:v>SYNTHETIQUE</x:v>
      </x:c>
    </x:row>
    <x:row r="24" ht="28" customHeight="1">
      <x:c r="A24" s="10" t="str">
        <x:v>COST-019</x:v>
      </x:c>
      <x:c r="B24" s="10" t="str">
        <x:v>AI-003</x:v>
      </x:c>
      <x:c r="C24" s="10" t="str">
        <x:v>2026-08</x:v>
      </x:c>
      <x:c r="D24" s="10" t="str">
        <x:v>Humain</x:v>
      </x:c>
      <x:c r="E24" s="10" t="str">
        <x:v>EUR</x:v>
      </x:c>
      <x:c r="F24" s="14" t="n">
        <x:v>1240</x:v>
      </x:c>
      <x:c r="G24" s="10" t="str">
        <x:v>SRC-078</x:v>
      </x:c>
      <x:c r="H24" s="10" t="str">
        <x:v>Coût imputé au mois; sans annualisation ni double compte</x:v>
      </x:c>
      <x:c r="I24" s="10" t="str">
        <x:v>SYNTHETIQUE</x:v>
      </x:c>
    </x:row>
    <x:row r="25" ht="28" customHeight="1">
      <x:c r="A25" s="11" t="str">
        <x:v>COST-020</x:v>
      </x:c>
      <x:c r="B25" s="11" t="str">
        <x:v>AI-003</x:v>
      </x:c>
      <x:c r="C25" s="11" t="str">
        <x:v>2026-08</x:v>
      </x:c>
      <x:c r="D25" s="11" t="str">
        <x:v>Organisation</x:v>
      </x:c>
      <x:c r="E25" s="11" t="str">
        <x:v>EUR</x:v>
      </x:c>
      <x:c r="F25" s="15" t="n">
        <x:v>248</x:v>
      </x:c>
      <x:c r="G25" s="11" t="str">
        <x:v>SRC-078</x:v>
      </x:c>
      <x:c r="H25" s="11" t="str">
        <x:v>Coût imputé au mois; sans annualisation ni double compte</x:v>
      </x:c>
      <x:c r="I25" s="11" t="str">
        <x:v>SYNTHETIQUE</x:v>
      </x:c>
    </x:row>
    <x:row r="26" ht="28" customHeight="1">
      <x:c r="A26" s="10" t="str">
        <x:v>COST-021</x:v>
      </x:c>
      <x:c r="B26" s="10" t="str">
        <x:v>AI-003</x:v>
      </x:c>
      <x:c r="C26" s="10" t="str">
        <x:v>2026-08</x:v>
      </x:c>
      <x:c r="D26" s="10" t="str">
        <x:v>Run</x:v>
      </x:c>
      <x:c r="E26" s="10" t="str">
        <x:v>EUR</x:v>
      </x:c>
      <x:c r="F26" s="14" t="n">
        <x:v>372</x:v>
      </x:c>
      <x:c r="G26" s="10" t="str">
        <x:v>SRC-078</x:v>
      </x:c>
      <x:c r="H26" s="10" t="str">
        <x:v>Coût imputé au mois; sans annualisation ni double compte</x:v>
      </x:c>
      <x:c r="I26" s="10" t="str">
        <x:v>SYNTHETIQUE</x:v>
      </x:c>
    </x:row>
    <x:row r="27" ht="28" customHeight="1">
      <x:c r="A27" s="11" t="str">
        <x:v>COST-022</x:v>
      </x:c>
      <x:c r="B27" s="11" t="str">
        <x:v>AI-004</x:v>
      </x:c>
      <x:c r="C27" s="11" t="str">
        <x:v>2026-08</x:v>
      </x:c>
      <x:c r="D27" s="11" t="str">
        <x:v>Technologie</x:v>
      </x:c>
      <x:c r="E27" s="11" t="str">
        <x:v>EUR</x:v>
      </x:c>
      <x:c r="F27" s="15" t="n">
        <x:v>2320</x:v>
      </x:c>
      <x:c r="G27" s="11" t="str">
        <x:v>SRC-075</x:v>
      </x:c>
      <x:c r="H27" s="11" t="str">
        <x:v>Coût imputé au mois; sans annualisation ni double compte</x:v>
      </x:c>
      <x:c r="I27" s="11" t="str">
        <x:v>SYNTHETIQUE</x:v>
      </x:c>
    </x:row>
    <x:row r="28" ht="28" customHeight="1">
      <x:c r="A28" s="10" t="str">
        <x:v>COST-023</x:v>
      </x:c>
      <x:c r="B28" s="10" t="str">
        <x:v>AI-004</x:v>
      </x:c>
      <x:c r="C28" s="10" t="str">
        <x:v>2026-08</x:v>
      </x:c>
      <x:c r="D28" s="10" t="str">
        <x:v>Données</x:v>
      </x:c>
      <x:c r="E28" s="10" t="str">
        <x:v>EUR</x:v>
      </x:c>
      <x:c r="F28" s="14" t="n">
        <x:v>290</x:v>
      </x:c>
      <x:c r="G28" s="10" t="str">
        <x:v>SRC-076</x:v>
      </x:c>
      <x:c r="H28" s="10" t="str">
        <x:v>Coût imputé au mois; sans annualisation ni double compte</x:v>
      </x:c>
      <x:c r="I28" s="10" t="str">
        <x:v>SYNTHETIQUE</x:v>
      </x:c>
    </x:row>
    <x:row r="29" ht="28" customHeight="1">
      <x:c r="A29" s="11" t="str">
        <x:v>COST-024</x:v>
      </x:c>
      <x:c r="B29" s="11" t="str">
        <x:v>AI-004</x:v>
      </x:c>
      <x:c r="C29" s="11" t="str">
        <x:v>2026-08</x:v>
      </x:c>
      <x:c r="D29" s="11" t="str">
        <x:v>Intégration</x:v>
      </x:c>
      <x:c r="E29" s="11" t="str">
        <x:v>EUR</x:v>
      </x:c>
      <x:c r="F29" s="15" t="n">
        <x:v>1160</x:v>
      </x:c>
      <x:c r="G29" s="11" t="str">
        <x:v>SRC-077</x:v>
      </x:c>
      <x:c r="H29" s="11" t="str">
        <x:v>Coût imputé au mois; sans annualisation ni double compte</x:v>
      </x:c>
      <x:c r="I29" s="11" t="str">
        <x:v>SYNTHETIQUE</x:v>
      </x:c>
    </x:row>
    <x:row r="30" ht="28" customHeight="1">
      <x:c r="A30" s="10" t="str">
        <x:v>COST-025</x:v>
      </x:c>
      <x:c r="B30" s="10" t="str">
        <x:v>AI-004</x:v>
      </x:c>
      <x:c r="C30" s="10" t="str">
        <x:v>2026-08</x:v>
      </x:c>
      <x:c r="D30" s="10" t="str">
        <x:v>Sécurité et conformité</x:v>
      </x:c>
      <x:c r="E30" s="10" t="str">
        <x:v>EUR</x:v>
      </x:c>
      <x:c r="F30" s="14" t="n">
        <x:v>290</x:v>
      </x:c>
      <x:c r="G30" s="10" t="str">
        <x:v>SRC-078</x:v>
      </x:c>
      <x:c r="H30" s="10" t="str">
        <x:v>Coût imputé au mois; sans annualisation ni double compte</x:v>
      </x:c>
      <x:c r="I30" s="10" t="str">
        <x:v>SYNTHETIQUE</x:v>
      </x:c>
    </x:row>
    <x:row r="31" ht="28" customHeight="1">
      <x:c r="A31" s="11" t="str">
        <x:v>COST-026</x:v>
      </x:c>
      <x:c r="B31" s="11" t="str">
        <x:v>AI-004</x:v>
      </x:c>
      <x:c r="C31" s="11" t="str">
        <x:v>2026-08</x:v>
      </x:c>
      <x:c r="D31" s="11" t="str">
        <x:v>Humain</x:v>
      </x:c>
      <x:c r="E31" s="11" t="str">
        <x:v>EUR</x:v>
      </x:c>
      <x:c r="F31" s="15" t="n">
        <x:v>1160</x:v>
      </x:c>
      <x:c r="G31" s="11" t="str">
        <x:v>SRC-078</x:v>
      </x:c>
      <x:c r="H31" s="11" t="str">
        <x:v>Coût imputé au mois; sans annualisation ni double compte</x:v>
      </x:c>
      <x:c r="I31" s="11" t="str">
        <x:v>SYNTHETIQUE</x:v>
      </x:c>
    </x:row>
    <x:row r="32" ht="28" customHeight="1">
      <x:c r="A32" s="10" t="str">
        <x:v>COST-027</x:v>
      </x:c>
      <x:c r="B32" s="10" t="str">
        <x:v>AI-004</x:v>
      </x:c>
      <x:c r="C32" s="10" t="str">
        <x:v>2026-08</x:v>
      </x:c>
      <x:c r="D32" s="10" t="str">
        <x:v>Organisation</x:v>
      </x:c>
      <x:c r="E32" s="10" t="str">
        <x:v>EUR</x:v>
      </x:c>
      <x:c r="F32" s="14" t="n">
        <x:v>232</x:v>
      </x:c>
      <x:c r="G32" s="10" t="str">
        <x:v>SRC-078</x:v>
      </x:c>
      <x:c r="H32" s="10" t="str">
        <x:v>Coût imputé au mois; sans annualisation ni double compte</x:v>
      </x:c>
      <x:c r="I32" s="10" t="str">
        <x:v>SYNTHETIQUE</x:v>
      </x:c>
    </x:row>
    <x:row r="33" ht="28" customHeight="1">
      <x:c r="A33" s="11" t="str">
        <x:v>COST-028</x:v>
      </x:c>
      <x:c r="B33" s="11" t="str">
        <x:v>AI-004</x:v>
      </x:c>
      <x:c r="C33" s="11" t="str">
        <x:v>2026-08</x:v>
      </x:c>
      <x:c r="D33" s="11" t="str">
        <x:v>Run</x:v>
      </x:c>
      <x:c r="E33" s="11" t="str">
        <x:v>EUR</x:v>
      </x:c>
      <x:c r="F33" s="15" t="n">
        <x:v>348</x:v>
      </x:c>
      <x:c r="G33" s="11" t="str">
        <x:v>SRC-078</x:v>
      </x:c>
      <x:c r="H33" s="11" t="str">
        <x:v>Coût imputé au mois; sans annualisation ni double compte</x:v>
      </x:c>
      <x:c r="I33" s="11" t="str">
        <x:v>SYNTHETIQUE</x:v>
      </x:c>
    </x:row>
    <x:row r="34" ht="28" customHeight="1">
      <x:c r="A34" s="10" t="str">
        <x:v>COST-029</x:v>
      </x:c>
      <x:c r="B34" s="10" t="str">
        <x:v>AI-005</x:v>
      </x:c>
      <x:c r="C34" s="10" t="str">
        <x:v>2026-08</x:v>
      </x:c>
      <x:c r="D34" s="10" t="str">
        <x:v>Technologie</x:v>
      </x:c>
      <x:c r="E34" s="10" t="str">
        <x:v>EUR</x:v>
      </x:c>
      <x:c r="F34" s="14" t="n">
        <x:v>2880</x:v>
      </x:c>
      <x:c r="G34" s="10" t="str">
        <x:v>SRC-075</x:v>
      </x:c>
      <x:c r="H34" s="10" t="str">
        <x:v>Coût imputé au mois; sans annualisation ni double compte</x:v>
      </x:c>
      <x:c r="I34" s="10" t="str">
        <x:v>SYNTHETIQUE</x:v>
      </x:c>
    </x:row>
    <x:row r="35" ht="28" customHeight="1">
      <x:c r="A35" s="11" t="str">
        <x:v>COST-030</x:v>
      </x:c>
      <x:c r="B35" s="11" t="str">
        <x:v>AI-005</x:v>
      </x:c>
      <x:c r="C35" s="11" t="str">
        <x:v>2026-08</x:v>
      </x:c>
      <x:c r="D35" s="11" t="str">
        <x:v>Données</x:v>
      </x:c>
      <x:c r="E35" s="11" t="str">
        <x:v>EUR</x:v>
      </x:c>
      <x:c r="F35" s="15" t="n">
        <x:v>360</x:v>
      </x:c>
      <x:c r="G35" s="11" t="str">
        <x:v>SRC-076</x:v>
      </x:c>
      <x:c r="H35" s="11" t="str">
        <x:v>Coût imputé au mois; sans annualisation ni double compte</x:v>
      </x:c>
      <x:c r="I35" s="11" t="str">
        <x:v>SYNTHETIQUE</x:v>
      </x:c>
    </x:row>
    <x:row r="36" ht="28" customHeight="1">
      <x:c r="A36" s="10" t="str">
        <x:v>COST-031</x:v>
      </x:c>
      <x:c r="B36" s="10" t="str">
        <x:v>AI-005</x:v>
      </x:c>
      <x:c r="C36" s="10" t="str">
        <x:v>2026-08</x:v>
      </x:c>
      <x:c r="D36" s="10" t="str">
        <x:v>Intégration</x:v>
      </x:c>
      <x:c r="E36" s="10" t="str">
        <x:v>EUR</x:v>
      </x:c>
      <x:c r="F36" s="14" t="n">
        <x:v>1440</x:v>
      </x:c>
      <x:c r="G36" s="10" t="str">
        <x:v>SRC-077</x:v>
      </x:c>
      <x:c r="H36" s="10" t="str">
        <x:v>Coût imputé au mois; sans annualisation ni double compte</x:v>
      </x:c>
      <x:c r="I36" s="10" t="str">
        <x:v>SYNTHETIQUE</x:v>
      </x:c>
    </x:row>
    <x:row r="37" ht="28" customHeight="1">
      <x:c r="A37" s="11" t="str">
        <x:v>COST-032</x:v>
      </x:c>
      <x:c r="B37" s="11" t="str">
        <x:v>AI-005</x:v>
      </x:c>
      <x:c r="C37" s="11" t="str">
        <x:v>2026-08</x:v>
      </x:c>
      <x:c r="D37" s="11" t="str">
        <x:v>Sécurité et conformité</x:v>
      </x:c>
      <x:c r="E37" s="11" t="str">
        <x:v>EUR</x:v>
      </x:c>
      <x:c r="F37" s="15" t="n">
        <x:v>360</x:v>
      </x:c>
      <x:c r="G37" s="11" t="str">
        <x:v>SRC-078</x:v>
      </x:c>
      <x:c r="H37" s="11" t="str">
        <x:v>Coût imputé au mois; sans annualisation ni double compte</x:v>
      </x:c>
      <x:c r="I37" s="11" t="str">
        <x:v>SYNTHETIQUE</x:v>
      </x:c>
    </x:row>
    <x:row r="38" ht="28" customHeight="1">
      <x:c r="A38" s="10" t="str">
        <x:v>COST-033</x:v>
      </x:c>
      <x:c r="B38" s="10" t="str">
        <x:v>AI-005</x:v>
      </x:c>
      <x:c r="C38" s="10" t="str">
        <x:v>2026-08</x:v>
      </x:c>
      <x:c r="D38" s="10" t="str">
        <x:v>Humain</x:v>
      </x:c>
      <x:c r="E38" s="10" t="str">
        <x:v>EUR</x:v>
      </x:c>
      <x:c r="F38" s="14" t="n">
        <x:v>1440</x:v>
      </x:c>
      <x:c r="G38" s="10" t="str">
        <x:v>SRC-078</x:v>
      </x:c>
      <x:c r="H38" s="10" t="str">
        <x:v>Coût imputé au mois; sans annualisation ni double compte</x:v>
      </x:c>
      <x:c r="I38" s="10" t="str">
        <x:v>SYNTHETIQUE</x:v>
      </x:c>
    </x:row>
    <x:row r="39" ht="28" customHeight="1">
      <x:c r="A39" s="11" t="str">
        <x:v>COST-034</x:v>
      </x:c>
      <x:c r="B39" s="11" t="str">
        <x:v>AI-005</x:v>
      </x:c>
      <x:c r="C39" s="11" t="str">
        <x:v>2026-08</x:v>
      </x:c>
      <x:c r="D39" s="11" t="str">
        <x:v>Organisation</x:v>
      </x:c>
      <x:c r="E39" s="11" t="str">
        <x:v>EUR</x:v>
      </x:c>
      <x:c r="F39" s="15" t="n">
        <x:v>288</x:v>
      </x:c>
      <x:c r="G39" s="11" t="str">
        <x:v>SRC-078</x:v>
      </x:c>
      <x:c r="H39" s="11" t="str">
        <x:v>Coût imputé au mois; sans annualisation ni double compte</x:v>
      </x:c>
      <x:c r="I39" s="11" t="str">
        <x:v>SYNTHETIQUE</x:v>
      </x:c>
    </x:row>
    <x:row r="40" ht="28" customHeight="1">
      <x:c r="A40" s="10" t="str">
        <x:v>COST-035</x:v>
      </x:c>
      <x:c r="B40" s="10" t="str">
        <x:v>AI-005</x:v>
      </x:c>
      <x:c r="C40" s="10" t="str">
        <x:v>2026-08</x:v>
      </x:c>
      <x:c r="D40" s="10" t="str">
        <x:v>Run</x:v>
      </x:c>
      <x:c r="E40" s="10" t="str">
        <x:v>EUR</x:v>
      </x:c>
      <x:c r="F40" s="14" t="n">
        <x:v>432</x:v>
      </x:c>
      <x:c r="G40" s="10" t="str">
        <x:v>SRC-078</x:v>
      </x:c>
      <x:c r="H40" s="10" t="str">
        <x:v>Coût imputé au mois; sans annualisation ni double compte</x:v>
      </x:c>
      <x:c r="I40" s="10" t="str">
        <x:v>SYNTHETIQUE</x:v>
      </x:c>
    </x:row>
    <x:row r="41" ht="28" customHeight="1">
      <x:c r="A41" s="11" t="str">
        <x:v>COST-036</x:v>
      </x:c>
      <x:c r="B41" s="11" t="str">
        <x:v>AI-006</x:v>
      </x:c>
      <x:c r="C41" s="11" t="str">
        <x:v>2026-08</x:v>
      </x:c>
      <x:c r="D41" s="11" t="str">
        <x:v>Technologie</x:v>
      </x:c>
      <x:c r="E41" s="11" t="str">
        <x:v>EUR</x:v>
      </x:c>
      <x:c r="F41" s="15" t="n">
        <x:v>14400</x:v>
      </x:c>
      <x:c r="G41" s="11" t="str">
        <x:v>SRC-075</x:v>
      </x:c>
      <x:c r="H41" s="11" t="str">
        <x:v>Coût imputé au mois; sans annualisation ni double compte</x:v>
      </x:c>
      <x:c r="I41" s="11" t="str">
        <x:v>SYNTHETIQUE</x:v>
      </x:c>
    </x:row>
    <x:row r="42" ht="28" customHeight="1">
      <x:c r="A42" s="10" t="str">
        <x:v>COST-037</x:v>
      </x:c>
      <x:c r="B42" s="10" t="str">
        <x:v>AI-006</x:v>
      </x:c>
      <x:c r="C42" s="10" t="str">
        <x:v>2026-08</x:v>
      </x:c>
      <x:c r="D42" s="10" t="str">
        <x:v>Données</x:v>
      </x:c>
      <x:c r="E42" s="10" t="str">
        <x:v>EUR</x:v>
      </x:c>
      <x:c r="F42" s="14" t="n">
        <x:v>500</x:v>
      </x:c>
      <x:c r="G42" s="10" t="str">
        <x:v>SRC-076</x:v>
      </x:c>
      <x:c r="H42" s="10" t="str">
        <x:v>Coût imputé au mois; sans annualisation ni double compte</x:v>
      </x:c>
      <x:c r="I42" s="10" t="str">
        <x:v>SYNTHETIQUE</x:v>
      </x:c>
    </x:row>
    <x:row r="43" ht="28" customHeight="1">
      <x:c r="A43" s="11" t="str">
        <x:v>COST-038</x:v>
      </x:c>
      <x:c r="B43" s="11" t="str">
        <x:v>AI-006</x:v>
      </x:c>
      <x:c r="C43" s="11" t="str">
        <x:v>2026-08</x:v>
      </x:c>
      <x:c r="D43" s="11" t="str">
        <x:v>Intégration</x:v>
      </x:c>
      <x:c r="E43" s="11" t="str">
        <x:v>EUR</x:v>
      </x:c>
      <x:c r="F43" s="15" t="n">
        <x:v>700</x:v>
      </x:c>
      <x:c r="G43" s="11" t="str">
        <x:v>SRC-077</x:v>
      </x:c>
      <x:c r="H43" s="11" t="str">
        <x:v>Coût imputé au mois; sans annualisation ni double compte</x:v>
      </x:c>
      <x:c r="I43" s="11" t="str">
        <x:v>SYNTHETIQUE</x:v>
      </x:c>
    </x:row>
    <x:row r="44" ht="28" customHeight="1">
      <x:c r="A44" s="10" t="str">
        <x:v>COST-039</x:v>
      </x:c>
      <x:c r="B44" s="10" t="str">
        <x:v>AI-006</x:v>
      </x:c>
      <x:c r="C44" s="10" t="str">
        <x:v>2026-08</x:v>
      </x:c>
      <x:c r="D44" s="10" t="str">
        <x:v>Sécurité et conformité</x:v>
      </x:c>
      <x:c r="E44" s="10" t="str">
        <x:v>EUR</x:v>
      </x:c>
      <x:c r="F44" s="14" t="n">
        <x:v>300</x:v>
      </x:c>
      <x:c r="G44" s="10" t="str">
        <x:v>SRC-078</x:v>
      </x:c>
      <x:c r="H44" s="10" t="str">
        <x:v>Coût imputé au mois; sans annualisation ni double compte</x:v>
      </x:c>
      <x:c r="I44" s="10" t="str">
        <x:v>SYNTHETIQUE</x:v>
      </x:c>
    </x:row>
    <x:row r="45" ht="28" customHeight="1">
      <x:c r="A45" s="11" t="str">
        <x:v>COST-040</x:v>
      </x:c>
      <x:c r="B45" s="11" t="str">
        <x:v>AI-006</x:v>
      </x:c>
      <x:c r="C45" s="11" t="str">
        <x:v>2026-08</x:v>
      </x:c>
      <x:c r="D45" s="11" t="str">
        <x:v>Humain</x:v>
      </x:c>
      <x:c r="E45" s="11" t="str">
        <x:v>EUR</x:v>
      </x:c>
      <x:c r="F45" s="15" t="n">
        <x:v>900</x:v>
      </x:c>
      <x:c r="G45" s="11" t="str">
        <x:v>SRC-078</x:v>
      </x:c>
      <x:c r="H45" s="11" t="str">
        <x:v>Coût imputé au mois; sans annualisation ni double compte</x:v>
      </x:c>
      <x:c r="I45" s="11" t="str">
        <x:v>SYNTHETIQUE</x:v>
      </x:c>
    </x:row>
    <x:row r="46" ht="28" customHeight="1">
      <x:c r="A46" s="10" t="str">
        <x:v>COST-041</x:v>
      </x:c>
      <x:c r="B46" s="10" t="str">
        <x:v>AI-006</x:v>
      </x:c>
      <x:c r="C46" s="10" t="str">
        <x:v>2026-08</x:v>
      </x:c>
      <x:c r="D46" s="10" t="str">
        <x:v>Organisation</x:v>
      </x:c>
      <x:c r="E46" s="10" t="str">
        <x:v>EUR</x:v>
      </x:c>
      <x:c r="F46" s="14" t="n">
        <x:v>500</x:v>
      </x:c>
      <x:c r="G46" s="10" t="str">
        <x:v>SRC-078</x:v>
      </x:c>
      <x:c r="H46" s="10" t="str">
        <x:v>Coût imputé au mois; sans annualisation ni double compte</x:v>
      </x:c>
      <x:c r="I46" s="10" t="str">
        <x:v>SYNTHETIQUE</x:v>
      </x:c>
    </x:row>
    <x:row r="47" ht="28" customHeight="1">
      <x:c r="A47" s="11" t="str">
        <x:v>COST-042</x:v>
      </x:c>
      <x:c r="B47" s="11" t="str">
        <x:v>AI-006</x:v>
      </x:c>
      <x:c r="C47" s="11" t="str">
        <x:v>2026-08</x:v>
      </x:c>
      <x:c r="D47" s="11" t="str">
        <x:v>Run</x:v>
      </x:c>
      <x:c r="E47" s="11" t="str">
        <x:v>EUR</x:v>
      </x:c>
      <x:c r="F47" s="15" t="n">
        <x:v>700</x:v>
      </x:c>
      <x:c r="G47" s="11" t="str">
        <x:v>SRC-078</x:v>
      </x:c>
      <x:c r="H47" s="11" t="str">
        <x:v>Coût imputé au mois; sans annualisation ni double compte</x:v>
      </x:c>
      <x:c r="I47" s="11" t="str">
        <x:v>SYNTHETIQUE</x:v>
      </x:c>
    </x:row>
    <x:row r="48" ht="28" customHeight="1">
      <x:c r="A48" s="10" t="str">
        <x:v>COST-043</x:v>
      </x:c>
      <x:c r="B48" s="10" t="str">
        <x:v>AI-007</x:v>
      </x:c>
      <x:c r="C48" s="10" t="str">
        <x:v>2026-08</x:v>
      </x:c>
      <x:c r="D48" s="10" t="str">
        <x:v>Technologie</x:v>
      </x:c>
      <x:c r="E48" s="10" t="str">
        <x:v>EUR</x:v>
      </x:c>
      <x:c r="F48" s="14" t="n">
        <x:v>1240</x:v>
      </x:c>
      <x:c r="G48" s="10" t="str">
        <x:v>SRC-075</x:v>
      </x:c>
      <x:c r="H48" s="10" t="str">
        <x:v>Coût imputé au mois; sans annualisation ni double compte</x:v>
      </x:c>
      <x:c r="I48" s="10" t="str">
        <x:v>SYNTHETIQUE</x:v>
      </x:c>
    </x:row>
    <x:row r="49" ht="28" customHeight="1">
      <x:c r="A49" s="11" t="str">
        <x:v>COST-044</x:v>
      </x:c>
      <x:c r="B49" s="11" t="str">
        <x:v>AI-007</x:v>
      </x:c>
      <x:c r="C49" s="11" t="str">
        <x:v>2026-08</x:v>
      </x:c>
      <x:c r="D49" s="11" t="str">
        <x:v>Données</x:v>
      </x:c>
      <x:c r="E49" s="11" t="str">
        <x:v>EUR</x:v>
      </x:c>
      <x:c r="F49" s="15" t="n">
        <x:v>155</x:v>
      </x:c>
      <x:c r="G49" s="11" t="str">
        <x:v>SRC-076</x:v>
      </x:c>
      <x:c r="H49" s="11" t="str">
        <x:v>Coût imputé au mois; sans annualisation ni double compte</x:v>
      </x:c>
      <x:c r="I49" s="11" t="str">
        <x:v>SYNTHETIQUE</x:v>
      </x:c>
    </x:row>
    <x:row r="50" ht="28" customHeight="1">
      <x:c r="A50" s="10" t="str">
        <x:v>COST-045</x:v>
      </x:c>
      <x:c r="B50" s="10" t="str">
        <x:v>AI-007</x:v>
      </x:c>
      <x:c r="C50" s="10" t="str">
        <x:v>2026-08</x:v>
      </x:c>
      <x:c r="D50" s="10" t="str">
        <x:v>Intégration</x:v>
      </x:c>
      <x:c r="E50" s="10" t="str">
        <x:v>EUR</x:v>
      </x:c>
      <x:c r="F50" s="14" t="n">
        <x:v>620</x:v>
      </x:c>
      <x:c r="G50" s="10" t="str">
        <x:v>SRC-077</x:v>
      </x:c>
      <x:c r="H50" s="10" t="str">
        <x:v>Coût imputé au mois; sans annualisation ni double compte</x:v>
      </x:c>
      <x:c r="I50" s="10" t="str">
        <x:v>SYNTHETIQUE</x:v>
      </x:c>
    </x:row>
    <x:row r="51" ht="28" customHeight="1">
      <x:c r="A51" s="11" t="str">
        <x:v>COST-046</x:v>
      </x:c>
      <x:c r="B51" s="11" t="str">
        <x:v>AI-007</x:v>
      </x:c>
      <x:c r="C51" s="11" t="str">
        <x:v>2026-08</x:v>
      </x:c>
      <x:c r="D51" s="11" t="str">
        <x:v>Sécurité et conformité</x:v>
      </x:c>
      <x:c r="E51" s="11" t="str">
        <x:v>EUR</x:v>
      </x:c>
      <x:c r="F51" s="15" t="n">
        <x:v>155</x:v>
      </x:c>
      <x:c r="G51" s="11" t="str">
        <x:v>SRC-078</x:v>
      </x:c>
      <x:c r="H51" s="11" t="str">
        <x:v>Coût imputé au mois; sans annualisation ni double compte</x:v>
      </x:c>
      <x:c r="I51" s="11" t="str">
        <x:v>SYNTHETIQUE</x:v>
      </x:c>
    </x:row>
    <x:row r="52" ht="28" customHeight="1">
      <x:c r="A52" s="10" t="str">
        <x:v>COST-047</x:v>
      </x:c>
      <x:c r="B52" s="10" t="str">
        <x:v>AI-007</x:v>
      </x:c>
      <x:c r="C52" s="10" t="str">
        <x:v>2026-08</x:v>
      </x:c>
      <x:c r="D52" s="10" t="str">
        <x:v>Humain</x:v>
      </x:c>
      <x:c r="E52" s="10" t="str">
        <x:v>EUR</x:v>
      </x:c>
      <x:c r="F52" s="14" t="n">
        <x:v>620</x:v>
      </x:c>
      <x:c r="G52" s="10" t="str">
        <x:v>SRC-078</x:v>
      </x:c>
      <x:c r="H52" s="10" t="str">
        <x:v>Coût imputé au mois; sans annualisation ni double compte</x:v>
      </x:c>
      <x:c r="I52" s="10" t="str">
        <x:v>SYNTHETIQUE</x:v>
      </x:c>
    </x:row>
    <x:row r="53" ht="28" customHeight="1">
      <x:c r="A53" s="11" t="str">
        <x:v>COST-048</x:v>
      </x:c>
      <x:c r="B53" s="11" t="str">
        <x:v>AI-007</x:v>
      </x:c>
      <x:c r="C53" s="11" t="str">
        <x:v>2026-08</x:v>
      </x:c>
      <x:c r="D53" s="11" t="str">
        <x:v>Organisation</x:v>
      </x:c>
      <x:c r="E53" s="11" t="str">
        <x:v>EUR</x:v>
      </x:c>
      <x:c r="F53" s="15" t="n">
        <x:v>124</x:v>
      </x:c>
      <x:c r="G53" s="11" t="str">
        <x:v>SRC-078</x:v>
      </x:c>
      <x:c r="H53" s="11" t="str">
        <x:v>Coût imputé au mois; sans annualisation ni double compte</x:v>
      </x:c>
      <x:c r="I53" s="11" t="str">
        <x:v>SYNTHETIQUE</x:v>
      </x:c>
    </x:row>
    <x:row r="54" ht="28" customHeight="1">
      <x:c r="A54" s="10" t="str">
        <x:v>COST-049</x:v>
      </x:c>
      <x:c r="B54" s="10" t="str">
        <x:v>AI-007</x:v>
      </x:c>
      <x:c r="C54" s="10" t="str">
        <x:v>2026-08</x:v>
      </x:c>
      <x:c r="D54" s="10" t="str">
        <x:v>Run</x:v>
      </x:c>
      <x:c r="E54" s="10" t="str">
        <x:v>EUR</x:v>
      </x:c>
      <x:c r="F54" s="14" t="n">
        <x:v>186</x:v>
      </x:c>
      <x:c r="G54" s="10" t="str">
        <x:v>SRC-078</x:v>
      </x:c>
      <x:c r="H54" s="10" t="str">
        <x:v>Coût imputé au mois; sans annualisation ni double compte</x:v>
      </x:c>
      <x:c r="I54" s="10" t="str">
        <x:v>SYNTHETIQUE</x:v>
      </x:c>
    </x:row>
    <x:row r="55" ht="28" customHeight="1">
      <x:c r="A55" s="11" t="str">
        <x:v>COST-050</x:v>
      </x:c>
      <x:c r="B55" s="11" t="str">
        <x:v>AI-008</x:v>
      </x:c>
      <x:c r="C55" s="11" t="str">
        <x:v>2026-08</x:v>
      </x:c>
      <x:c r="D55" s="11" t="str">
        <x:v>Technologie</x:v>
      </x:c>
      <x:c r="E55" s="11" t="str">
        <x:v>EUR</x:v>
      </x:c>
      <x:c r="F55" s="15" t="n">
        <x:v>2040</x:v>
      </x:c>
      <x:c r="G55" s="11" t="str">
        <x:v>SRC-075</x:v>
      </x:c>
      <x:c r="H55" s="11" t="str">
        <x:v>Coût imputé au mois; sans annualisation ni double compte</x:v>
      </x:c>
      <x:c r="I55" s="11" t="str">
        <x:v>SYNTHETIQUE</x:v>
      </x:c>
    </x:row>
    <x:row r="56" ht="28" customHeight="1">
      <x:c r="A56" s="10" t="str">
        <x:v>COST-051</x:v>
      </x:c>
      <x:c r="B56" s="10" t="str">
        <x:v>AI-008</x:v>
      </x:c>
      <x:c r="C56" s="10" t="str">
        <x:v>2026-08</x:v>
      </x:c>
      <x:c r="D56" s="10" t="str">
        <x:v>Données</x:v>
      </x:c>
      <x:c r="E56" s="10" t="str">
        <x:v>EUR</x:v>
      </x:c>
      <x:c r="F56" s="14" t="n">
        <x:v>255</x:v>
      </x:c>
      <x:c r="G56" s="10" t="str">
        <x:v>SRC-076</x:v>
      </x:c>
      <x:c r="H56" s="10" t="str">
        <x:v>Coût imputé au mois; sans annualisation ni double compte</x:v>
      </x:c>
      <x:c r="I56" s="10" t="str">
        <x:v>SYNTHETIQUE</x:v>
      </x:c>
    </x:row>
    <x:row r="57" ht="28" customHeight="1">
      <x:c r="A57" s="11" t="str">
        <x:v>COST-052</x:v>
      </x:c>
      <x:c r="B57" s="11" t="str">
        <x:v>AI-008</x:v>
      </x:c>
      <x:c r="C57" s="11" t="str">
        <x:v>2026-08</x:v>
      </x:c>
      <x:c r="D57" s="11" t="str">
        <x:v>Intégration</x:v>
      </x:c>
      <x:c r="E57" s="11" t="str">
        <x:v>EUR</x:v>
      </x:c>
      <x:c r="F57" s="15" t="n">
        <x:v>1020</x:v>
      </x:c>
      <x:c r="G57" s="11" t="str">
        <x:v>SRC-077</x:v>
      </x:c>
      <x:c r="H57" s="11" t="str">
        <x:v>Coût imputé au mois; sans annualisation ni double compte</x:v>
      </x:c>
      <x:c r="I57" s="11" t="str">
        <x:v>SYNTHETIQUE</x:v>
      </x:c>
    </x:row>
    <x:row r="58" ht="28" customHeight="1">
      <x:c r="A58" s="10" t="str">
        <x:v>COST-053</x:v>
      </x:c>
      <x:c r="B58" s="10" t="str">
        <x:v>AI-008</x:v>
      </x:c>
      <x:c r="C58" s="10" t="str">
        <x:v>2026-08</x:v>
      </x:c>
      <x:c r="D58" s="10" t="str">
        <x:v>Sécurité et conformité</x:v>
      </x:c>
      <x:c r="E58" s="10" t="str">
        <x:v>EUR</x:v>
      </x:c>
      <x:c r="F58" s="14" t="n">
        <x:v>255</x:v>
      </x:c>
      <x:c r="G58" s="10" t="str">
        <x:v>SRC-078</x:v>
      </x:c>
      <x:c r="H58" s="10" t="str">
        <x:v>Coût imputé au mois; sans annualisation ni double compte</x:v>
      </x:c>
      <x:c r="I58" s="10" t="str">
        <x:v>SYNTHETIQUE</x:v>
      </x:c>
    </x:row>
    <x:row r="59" ht="28" customHeight="1">
      <x:c r="A59" s="11" t="str">
        <x:v>COST-054</x:v>
      </x:c>
      <x:c r="B59" s="11" t="str">
        <x:v>AI-008</x:v>
      </x:c>
      <x:c r="C59" s="11" t="str">
        <x:v>2026-08</x:v>
      </x:c>
      <x:c r="D59" s="11" t="str">
        <x:v>Humain</x:v>
      </x:c>
      <x:c r="E59" s="11" t="str">
        <x:v>EUR</x:v>
      </x:c>
      <x:c r="F59" s="15" t="n">
        <x:v>1020</x:v>
      </x:c>
      <x:c r="G59" s="11" t="str">
        <x:v>SRC-078</x:v>
      </x:c>
      <x:c r="H59" s="11" t="str">
        <x:v>Coût imputé au mois; sans annualisation ni double compte</x:v>
      </x:c>
      <x:c r="I59" s="11" t="str">
        <x:v>SYNTHETIQUE</x:v>
      </x:c>
    </x:row>
    <x:row r="60" ht="28" customHeight="1">
      <x:c r="A60" s="10" t="str">
        <x:v>COST-055</x:v>
      </x:c>
      <x:c r="B60" s="10" t="str">
        <x:v>AI-008</x:v>
      </x:c>
      <x:c r="C60" s="10" t="str">
        <x:v>2026-08</x:v>
      </x:c>
      <x:c r="D60" s="10" t="str">
        <x:v>Organisation</x:v>
      </x:c>
      <x:c r="E60" s="10" t="str">
        <x:v>EUR</x:v>
      </x:c>
      <x:c r="F60" s="14" t="n">
        <x:v>204</x:v>
      </x:c>
      <x:c r="G60" s="10" t="str">
        <x:v>SRC-078</x:v>
      </x:c>
      <x:c r="H60" s="10" t="str">
        <x:v>Coût imputé au mois; sans annualisation ni double compte</x:v>
      </x:c>
      <x:c r="I60" s="10" t="str">
        <x:v>SYNTHETIQUE</x:v>
      </x:c>
    </x:row>
    <x:row r="61" ht="28" customHeight="1">
      <x:c r="A61" s="11" t="str">
        <x:v>COST-056</x:v>
      </x:c>
      <x:c r="B61" s="11" t="str">
        <x:v>AI-008</x:v>
      </x:c>
      <x:c r="C61" s="11" t="str">
        <x:v>2026-08</x:v>
      </x:c>
      <x:c r="D61" s="11" t="str">
        <x:v>Run</x:v>
      </x:c>
      <x:c r="E61" s="11" t="str">
        <x:v>EUR</x:v>
      </x:c>
      <x:c r="F61" s="15" t="n">
        <x:v>306</x:v>
      </x:c>
      <x:c r="G61" s="11" t="str">
        <x:v>SRC-078</x:v>
      </x:c>
      <x:c r="H61" s="11" t="str">
        <x:v>Coût imputé au mois; sans annualisation ni double compte</x:v>
      </x:c>
      <x:c r="I61" s="11" t="str">
        <x:v>SYNTHETIQUE</x:v>
      </x:c>
    </x:row>
    <x:row r="62" ht="28" customHeight="1">
      <x:c r="A62" s="10" t="str">
        <x:v>COST-057</x:v>
      </x:c>
      <x:c r="B62" s="10" t="str">
        <x:v>AI-009</x:v>
      </x:c>
      <x:c r="C62" s="10" t="str">
        <x:v>2026-08</x:v>
      </x:c>
      <x:c r="D62" s="10" t="str">
        <x:v>Technologie</x:v>
      </x:c>
      <x:c r="E62" s="10" t="str">
        <x:v>EUR</x:v>
      </x:c>
      <x:c r="F62" s="14" t="n">
        <x:v>1920</x:v>
      </x:c>
      <x:c r="G62" s="10" t="str">
        <x:v>SRC-075</x:v>
      </x:c>
      <x:c r="H62" s="10" t="str">
        <x:v>Coût imputé au mois; sans annualisation ni double compte</x:v>
      </x:c>
      <x:c r="I62" s="10" t="str">
        <x:v>SYNTHETIQUE</x:v>
      </x:c>
    </x:row>
    <x:row r="63" ht="28" customHeight="1">
      <x:c r="A63" s="11" t="str">
        <x:v>COST-058</x:v>
      </x:c>
      <x:c r="B63" s="11" t="str">
        <x:v>AI-009</x:v>
      </x:c>
      <x:c r="C63" s="11" t="str">
        <x:v>2026-08</x:v>
      </x:c>
      <x:c r="D63" s="11" t="str">
        <x:v>Données</x:v>
      </x:c>
      <x:c r="E63" s="11" t="str">
        <x:v>EUR</x:v>
      </x:c>
      <x:c r="F63" s="15" t="n">
        <x:v>240</x:v>
      </x:c>
      <x:c r="G63" s="11" t="str">
        <x:v>SRC-076</x:v>
      </x:c>
      <x:c r="H63" s="11" t="str">
        <x:v>Coût imputé au mois; sans annualisation ni double compte</x:v>
      </x:c>
      <x:c r="I63" s="11" t="str">
        <x:v>SYNTHETIQUE</x:v>
      </x:c>
    </x:row>
    <x:row r="64" ht="28" customHeight="1">
      <x:c r="A64" s="10" t="str">
        <x:v>COST-059</x:v>
      </x:c>
      <x:c r="B64" s="10" t="str">
        <x:v>AI-009</x:v>
      </x:c>
      <x:c r="C64" s="10" t="str">
        <x:v>2026-08</x:v>
      </x:c>
      <x:c r="D64" s="10" t="str">
        <x:v>Intégration</x:v>
      </x:c>
      <x:c r="E64" s="10" t="str">
        <x:v>EUR</x:v>
      </x:c>
      <x:c r="F64" s="14" t="n">
        <x:v>960</x:v>
      </x:c>
      <x:c r="G64" s="10" t="str">
        <x:v>SRC-077</x:v>
      </x:c>
      <x:c r="H64" s="10" t="str">
        <x:v>Coût imputé au mois; sans annualisation ni double compte</x:v>
      </x:c>
      <x:c r="I64" s="10" t="str">
        <x:v>SYNTHETIQUE</x:v>
      </x:c>
    </x:row>
    <x:row r="65" ht="28" customHeight="1">
      <x:c r="A65" s="11" t="str">
        <x:v>COST-060</x:v>
      </x:c>
      <x:c r="B65" s="11" t="str">
        <x:v>AI-009</x:v>
      </x:c>
      <x:c r="C65" s="11" t="str">
        <x:v>2026-08</x:v>
      </x:c>
      <x:c r="D65" s="11" t="str">
        <x:v>Sécurité et conformité</x:v>
      </x:c>
      <x:c r="E65" s="11" t="str">
        <x:v>EUR</x:v>
      </x:c>
      <x:c r="F65" s="15" t="n">
        <x:v>240</x:v>
      </x:c>
      <x:c r="G65" s="11" t="str">
        <x:v>SRC-078</x:v>
      </x:c>
      <x:c r="H65" s="11" t="str">
        <x:v>Coût imputé au mois; sans annualisation ni double compte</x:v>
      </x:c>
      <x:c r="I65" s="11" t="str">
        <x:v>SYNTHETIQUE</x:v>
      </x:c>
    </x:row>
    <x:row r="66" ht="28" customHeight="1">
      <x:c r="A66" s="10" t="str">
        <x:v>COST-061</x:v>
      </x:c>
      <x:c r="B66" s="10" t="str">
        <x:v>AI-009</x:v>
      </x:c>
      <x:c r="C66" s="10" t="str">
        <x:v>2026-08</x:v>
      </x:c>
      <x:c r="D66" s="10" t="str">
        <x:v>Humain</x:v>
      </x:c>
      <x:c r="E66" s="10" t="str">
        <x:v>EUR</x:v>
      </x:c>
      <x:c r="F66" s="14" t="n">
        <x:v>960</x:v>
      </x:c>
      <x:c r="G66" s="10" t="str">
        <x:v>SRC-078</x:v>
      </x:c>
      <x:c r="H66" s="10" t="str">
        <x:v>Coût imputé au mois; sans annualisation ni double compte</x:v>
      </x:c>
      <x:c r="I66" s="10" t="str">
        <x:v>SYNTHETIQUE</x:v>
      </x:c>
    </x:row>
    <x:row r="67" ht="28" customHeight="1">
      <x:c r="A67" s="11" t="str">
        <x:v>COST-062</x:v>
      </x:c>
      <x:c r="B67" s="11" t="str">
        <x:v>AI-009</x:v>
      </x:c>
      <x:c r="C67" s="11" t="str">
        <x:v>2026-08</x:v>
      </x:c>
      <x:c r="D67" s="11" t="str">
        <x:v>Organisation</x:v>
      </x:c>
      <x:c r="E67" s="11" t="str">
        <x:v>EUR</x:v>
      </x:c>
      <x:c r="F67" s="15" t="n">
        <x:v>192</x:v>
      </x:c>
      <x:c r="G67" s="11" t="str">
        <x:v>SRC-078</x:v>
      </x:c>
      <x:c r="H67" s="11" t="str">
        <x:v>Coût imputé au mois; sans annualisation ni double compte</x:v>
      </x:c>
      <x:c r="I67" s="11" t="str">
        <x:v>SYNTHETIQUE</x:v>
      </x:c>
    </x:row>
    <x:row r="68" ht="28" customHeight="1">
      <x:c r="A68" s="10" t="str">
        <x:v>COST-063</x:v>
      </x:c>
      <x:c r="B68" s="10" t="str">
        <x:v>AI-009</x:v>
      </x:c>
      <x:c r="C68" s="10" t="str">
        <x:v>2026-08</x:v>
      </x:c>
      <x:c r="D68" s="10" t="str">
        <x:v>Run</x:v>
      </x:c>
      <x:c r="E68" s="10" t="str">
        <x:v>EUR</x:v>
      </x:c>
      <x:c r="F68" s="14" t="n">
        <x:v>288</x:v>
      </x:c>
      <x:c r="G68" s="10" t="str">
        <x:v>SRC-078</x:v>
      </x:c>
      <x:c r="H68" s="10" t="str">
        <x:v>Coût imputé au mois; sans annualisation ni double compte</x:v>
      </x:c>
      <x:c r="I68" s="10" t="str">
        <x:v>SYNTHETIQUE</x:v>
      </x:c>
    </x:row>
    <x:row r="69" ht="28" customHeight="1">
      <x:c r="A69" s="11" t="str">
        <x:v>COST-064</x:v>
      </x:c>
      <x:c r="B69" s="11" t="str">
        <x:v>AI-010</x:v>
      </x:c>
      <x:c r="C69" s="11" t="str">
        <x:v>2026-08</x:v>
      </x:c>
      <x:c r="D69" s="11" t="str">
        <x:v>Technologie</x:v>
      </x:c>
      <x:c r="E69" s="11" t="str">
        <x:v>EUR</x:v>
      </x:c>
      <x:c r="F69" s="15" t="n">
        <x:v>1040</x:v>
      </x:c>
      <x:c r="G69" s="11" t="str">
        <x:v>SRC-075</x:v>
      </x:c>
      <x:c r="H69" s="11" t="str">
        <x:v>Coût imputé au mois; sans annualisation ni double compte</x:v>
      </x:c>
      <x:c r="I69" s="11" t="str">
        <x:v>SYNTHETIQUE</x:v>
      </x:c>
    </x:row>
    <x:row r="70" ht="28" customHeight="1">
      <x:c r="A70" s="10" t="str">
        <x:v>COST-065</x:v>
      </x:c>
      <x:c r="B70" s="10" t="str">
        <x:v>AI-010</x:v>
      </x:c>
      <x:c r="C70" s="10" t="str">
        <x:v>2026-08</x:v>
      </x:c>
      <x:c r="D70" s="10" t="str">
        <x:v>Données</x:v>
      </x:c>
      <x:c r="E70" s="10" t="str">
        <x:v>EUR</x:v>
      </x:c>
      <x:c r="F70" s="14" t="n">
        <x:v>130</x:v>
      </x:c>
      <x:c r="G70" s="10" t="str">
        <x:v>SRC-076</x:v>
      </x:c>
      <x:c r="H70" s="10" t="str">
        <x:v>Coût imputé au mois; sans annualisation ni double compte</x:v>
      </x:c>
      <x:c r="I70" s="10" t="str">
        <x:v>SYNTHETIQUE</x:v>
      </x:c>
    </x:row>
    <x:row r="71" ht="28" customHeight="1">
      <x:c r="A71" s="11" t="str">
        <x:v>COST-066</x:v>
      </x:c>
      <x:c r="B71" s="11" t="str">
        <x:v>AI-010</x:v>
      </x:c>
      <x:c r="C71" s="11" t="str">
        <x:v>2026-08</x:v>
      </x:c>
      <x:c r="D71" s="11" t="str">
        <x:v>Intégration</x:v>
      </x:c>
      <x:c r="E71" s="11" t="str">
        <x:v>EUR</x:v>
      </x:c>
      <x:c r="F71" s="15" t="n">
        <x:v>520</x:v>
      </x:c>
      <x:c r="G71" s="11" t="str">
        <x:v>SRC-077</x:v>
      </x:c>
      <x:c r="H71" s="11" t="str">
        <x:v>Coût imputé au mois; sans annualisation ni double compte</x:v>
      </x:c>
      <x:c r="I71" s="11" t="str">
        <x:v>SYNTHETIQUE</x:v>
      </x:c>
    </x:row>
    <x:row r="72" ht="28" customHeight="1">
      <x:c r="A72" s="10" t="str">
        <x:v>COST-067</x:v>
      </x:c>
      <x:c r="B72" s="10" t="str">
        <x:v>AI-010</x:v>
      </x:c>
      <x:c r="C72" s="10" t="str">
        <x:v>2026-08</x:v>
      </x:c>
      <x:c r="D72" s="10" t="str">
        <x:v>Sécurité et conformité</x:v>
      </x:c>
      <x:c r="E72" s="10" t="str">
        <x:v>EUR</x:v>
      </x:c>
      <x:c r="F72" s="14" t="n">
        <x:v>130</x:v>
      </x:c>
      <x:c r="G72" s="10" t="str">
        <x:v>SRC-078</x:v>
      </x:c>
      <x:c r="H72" s="10" t="str">
        <x:v>Coût imputé au mois; sans annualisation ni double compte</x:v>
      </x:c>
      <x:c r="I72" s="10" t="str">
        <x:v>SYNTHETIQUE</x:v>
      </x:c>
    </x:row>
    <x:row r="73" ht="28" customHeight="1">
      <x:c r="A73" s="11" t="str">
        <x:v>COST-068</x:v>
      </x:c>
      <x:c r="B73" s="11" t="str">
        <x:v>AI-010</x:v>
      </x:c>
      <x:c r="C73" s="11" t="str">
        <x:v>2026-08</x:v>
      </x:c>
      <x:c r="D73" s="11" t="str">
        <x:v>Humain</x:v>
      </x:c>
      <x:c r="E73" s="11" t="str">
        <x:v>EUR</x:v>
      </x:c>
      <x:c r="F73" s="15" t="n">
        <x:v>520</x:v>
      </x:c>
      <x:c r="G73" s="11" t="str">
        <x:v>SRC-078</x:v>
      </x:c>
      <x:c r="H73" s="11" t="str">
        <x:v>Coût imputé au mois; sans annualisation ni double compte</x:v>
      </x:c>
      <x:c r="I73" s="11" t="str">
        <x:v>SYNTHETIQUE</x:v>
      </x:c>
    </x:row>
    <x:row r="74" ht="28" customHeight="1">
      <x:c r="A74" s="10" t="str">
        <x:v>COST-069</x:v>
      </x:c>
      <x:c r="B74" s="10" t="str">
        <x:v>AI-010</x:v>
      </x:c>
      <x:c r="C74" s="10" t="str">
        <x:v>2026-08</x:v>
      </x:c>
      <x:c r="D74" s="10" t="str">
        <x:v>Organisation</x:v>
      </x:c>
      <x:c r="E74" s="10" t="str">
        <x:v>EUR</x:v>
      </x:c>
      <x:c r="F74" s="14" t="n">
        <x:v>104</x:v>
      </x:c>
      <x:c r="G74" s="10" t="str">
        <x:v>SRC-078</x:v>
      </x:c>
      <x:c r="H74" s="10" t="str">
        <x:v>Coût imputé au mois; sans annualisation ni double compte</x:v>
      </x:c>
      <x:c r="I74" s="10" t="str">
        <x:v>SYNTHETIQUE</x:v>
      </x:c>
    </x:row>
    <x:row r="75" ht="28" customHeight="1">
      <x:c r="A75" s="11" t="str">
        <x:v>COST-070</x:v>
      </x:c>
      <x:c r="B75" s="11" t="str">
        <x:v>AI-010</x:v>
      </x:c>
      <x:c r="C75" s="11" t="str">
        <x:v>2026-08</x:v>
      </x:c>
      <x:c r="D75" s="11" t="str">
        <x:v>Run</x:v>
      </x:c>
      <x:c r="E75" s="11" t="str">
        <x:v>EUR</x:v>
      </x:c>
      <x:c r="F75" s="15" t="n">
        <x:v>156</x:v>
      </x:c>
      <x:c r="G75" s="11" t="str">
        <x:v>SRC-078</x:v>
      </x:c>
      <x:c r="H75" s="11" t="str">
        <x:v>Coût imputé au mois; sans annualisation ni double compte</x:v>
      </x:c>
      <x:c r="I75" s="11" t="str">
        <x:v>SYNTHETIQUE</x:v>
      </x:c>
    </x:row>
    <x:row r="76" ht="28" customHeight="1">
      <x:c r="A76" s="10" t="str">
        <x:v>COST-071</x:v>
      </x:c>
      <x:c r="B76" s="10" t="str">
        <x:v>AI-011</x:v>
      </x:c>
      <x:c r="C76" s="10" t="str">
        <x:v>2026-08</x:v>
      </x:c>
      <x:c r="D76" s="10" t="str">
        <x:v>Technologie</x:v>
      </x:c>
      <x:c r="E76" s="10" t="str">
        <x:v>EUR</x:v>
      </x:c>
      <x:c r="F76" s="14" t="n">
        <x:v>1560</x:v>
      </x:c>
      <x:c r="G76" s="10" t="str">
        <x:v>SRC-075</x:v>
      </x:c>
      <x:c r="H76" s="10" t="str">
        <x:v>Coût imputé au mois; sans annualisation ni double compte</x:v>
      </x:c>
      <x:c r="I76" s="10" t="str">
        <x:v>SYNTHETIQUE</x:v>
      </x:c>
    </x:row>
    <x:row r="77" ht="28" customHeight="1">
      <x:c r="A77" s="11" t="str">
        <x:v>COST-072</x:v>
      </x:c>
      <x:c r="B77" s="11" t="str">
        <x:v>AI-011</x:v>
      </x:c>
      <x:c r="C77" s="11" t="str">
        <x:v>2026-08</x:v>
      </x:c>
      <x:c r="D77" s="11" t="str">
        <x:v>Données</x:v>
      </x:c>
      <x:c r="E77" s="11" t="str">
        <x:v>EUR</x:v>
      </x:c>
      <x:c r="F77" s="15" t="n">
        <x:v>195</x:v>
      </x:c>
      <x:c r="G77" s="11" t="str">
        <x:v>SRC-076</x:v>
      </x:c>
      <x:c r="H77" s="11" t="str">
        <x:v>Coût imputé au mois; sans annualisation ni double compte</x:v>
      </x:c>
      <x:c r="I77" s="11" t="str">
        <x:v>SYNTHETIQUE</x:v>
      </x:c>
    </x:row>
    <x:row r="78" ht="28" customHeight="1">
      <x:c r="A78" s="10" t="str">
        <x:v>COST-073</x:v>
      </x:c>
      <x:c r="B78" s="10" t="str">
        <x:v>AI-011</x:v>
      </x:c>
      <x:c r="C78" s="10" t="str">
        <x:v>2026-08</x:v>
      </x:c>
      <x:c r="D78" s="10" t="str">
        <x:v>Intégration</x:v>
      </x:c>
      <x:c r="E78" s="10" t="str">
        <x:v>EUR</x:v>
      </x:c>
      <x:c r="F78" s="14" t="n">
        <x:v>780</x:v>
      </x:c>
      <x:c r="G78" s="10" t="str">
        <x:v>SRC-077</x:v>
      </x:c>
      <x:c r="H78" s="10" t="str">
        <x:v>Coût imputé au mois; sans annualisation ni double compte</x:v>
      </x:c>
      <x:c r="I78" s="10" t="str">
        <x:v>SYNTHETIQUE</x:v>
      </x:c>
    </x:row>
    <x:row r="79" ht="28" customHeight="1">
      <x:c r="A79" s="11" t="str">
        <x:v>COST-074</x:v>
      </x:c>
      <x:c r="B79" s="11" t="str">
        <x:v>AI-011</x:v>
      </x:c>
      <x:c r="C79" s="11" t="str">
        <x:v>2026-08</x:v>
      </x:c>
      <x:c r="D79" s="11" t="str">
        <x:v>Sécurité et conformité</x:v>
      </x:c>
      <x:c r="E79" s="11" t="str">
        <x:v>EUR</x:v>
      </x:c>
      <x:c r="F79" s="15" t="n">
        <x:v>195</x:v>
      </x:c>
      <x:c r="G79" s="11" t="str">
        <x:v>SRC-078</x:v>
      </x:c>
      <x:c r="H79" s="11" t="str">
        <x:v>Coût imputé au mois; sans annualisation ni double compte</x:v>
      </x:c>
      <x:c r="I79" s="11" t="str">
        <x:v>SYNTHETIQUE</x:v>
      </x:c>
    </x:row>
    <x:row r="80" ht="28" customHeight="1">
      <x:c r="A80" s="10" t="str">
        <x:v>COST-075</x:v>
      </x:c>
      <x:c r="B80" s="10" t="str">
        <x:v>AI-011</x:v>
      </x:c>
      <x:c r="C80" s="10" t="str">
        <x:v>2026-08</x:v>
      </x:c>
      <x:c r="D80" s="10" t="str">
        <x:v>Humain</x:v>
      </x:c>
      <x:c r="E80" s="10" t="str">
        <x:v>EUR</x:v>
      </x:c>
      <x:c r="F80" s="14" t="n">
        <x:v>780</x:v>
      </x:c>
      <x:c r="G80" s="10" t="str">
        <x:v>SRC-078</x:v>
      </x:c>
      <x:c r="H80" s="10" t="str">
        <x:v>Coût imputé au mois; sans annualisation ni double compte</x:v>
      </x:c>
      <x:c r="I80" s="10" t="str">
        <x:v>SYNTHETIQUE</x:v>
      </x:c>
    </x:row>
    <x:row r="81" ht="28" customHeight="1">
      <x:c r="A81" s="11" t="str">
        <x:v>COST-076</x:v>
      </x:c>
      <x:c r="B81" s="11" t="str">
        <x:v>AI-011</x:v>
      </x:c>
      <x:c r="C81" s="11" t="str">
        <x:v>2026-08</x:v>
      </x:c>
      <x:c r="D81" s="11" t="str">
        <x:v>Organisation</x:v>
      </x:c>
      <x:c r="E81" s="11" t="str">
        <x:v>EUR</x:v>
      </x:c>
      <x:c r="F81" s="15" t="n">
        <x:v>156</x:v>
      </x:c>
      <x:c r="G81" s="11" t="str">
        <x:v>SRC-078</x:v>
      </x:c>
      <x:c r="H81" s="11" t="str">
        <x:v>Coût imputé au mois; sans annualisation ni double compte</x:v>
      </x:c>
      <x:c r="I81" s="11" t="str">
        <x:v>SYNTHETIQUE</x:v>
      </x:c>
    </x:row>
    <x:row r="82" ht="28" customHeight="1">
      <x:c r="A82" s="10" t="str">
        <x:v>COST-077</x:v>
      </x:c>
      <x:c r="B82" s="10" t="str">
        <x:v>AI-011</x:v>
      </x:c>
      <x:c r="C82" s="10" t="str">
        <x:v>2026-08</x:v>
      </x:c>
      <x:c r="D82" s="10" t="str">
        <x:v>Run</x:v>
      </x:c>
      <x:c r="E82" s="10" t="str">
        <x:v>EUR</x:v>
      </x:c>
      <x:c r="F82" s="14" t="n">
        <x:v>234</x:v>
      </x:c>
      <x:c r="G82" s="10" t="str">
        <x:v>SRC-078</x:v>
      </x:c>
      <x:c r="H82" s="10" t="str">
        <x:v>Coût imputé au mois; sans annualisation ni double compte</x:v>
      </x:c>
      <x:c r="I82" s="10" t="str">
        <x:v>SYNTHETIQUE</x:v>
      </x:c>
    </x:row>
    <x:row r="83" ht="28" customHeight="1">
      <x:c r="A83" s="11" t="str">
        <x:v>COST-078</x:v>
      </x:c>
      <x:c r="B83" s="11" t="str">
        <x:v>AI-012</x:v>
      </x:c>
      <x:c r="C83" s="11" t="str">
        <x:v>2026-08</x:v>
      </x:c>
      <x:c r="D83" s="11" t="str">
        <x:v>Technologie</x:v>
      </x:c>
      <x:c r="E83" s="11" t="str">
        <x:v>EUR</x:v>
      </x:c>
      <x:c r="F83" s="15" t="n">
        <x:v>2560</x:v>
      </x:c>
      <x:c r="G83" s="11" t="str">
        <x:v>SRC-075</x:v>
      </x:c>
      <x:c r="H83" s="11" t="str">
        <x:v>Coût imputé au mois; sans annualisation ni double compte</x:v>
      </x:c>
      <x:c r="I83" s="11" t="str">
        <x:v>SYNTHETIQUE</x:v>
      </x:c>
    </x:row>
    <x:row r="84" ht="28" customHeight="1">
      <x:c r="A84" s="10" t="str">
        <x:v>COST-079</x:v>
      </x:c>
      <x:c r="B84" s="10" t="str">
        <x:v>AI-012</x:v>
      </x:c>
      <x:c r="C84" s="10" t="str">
        <x:v>2026-08</x:v>
      </x:c>
      <x:c r="D84" s="10" t="str">
        <x:v>Données</x:v>
      </x:c>
      <x:c r="E84" s="10" t="str">
        <x:v>EUR</x:v>
      </x:c>
      <x:c r="F84" s="14" t="n">
        <x:v>320</x:v>
      </x:c>
      <x:c r="G84" s="10" t="str">
        <x:v>SRC-076</x:v>
      </x:c>
      <x:c r="H84" s="10" t="str">
        <x:v>Coût imputé au mois; sans annualisation ni double compte</x:v>
      </x:c>
      <x:c r="I84" s="10" t="str">
        <x:v>SYNTHETIQUE</x:v>
      </x:c>
    </x:row>
    <x:row r="85" ht="28" customHeight="1">
      <x:c r="A85" s="11" t="str">
        <x:v>COST-080</x:v>
      </x:c>
      <x:c r="B85" s="11" t="str">
        <x:v>AI-012</x:v>
      </x:c>
      <x:c r="C85" s="11" t="str">
        <x:v>2026-08</x:v>
      </x:c>
      <x:c r="D85" s="11" t="str">
        <x:v>Intégration</x:v>
      </x:c>
      <x:c r="E85" s="11" t="str">
        <x:v>EUR</x:v>
      </x:c>
      <x:c r="F85" s="15" t="n">
        <x:v>1280</x:v>
      </x:c>
      <x:c r="G85" s="11" t="str">
        <x:v>SRC-077</x:v>
      </x:c>
      <x:c r="H85" s="11" t="str">
        <x:v>Coût imputé au mois; sans annualisation ni double compte</x:v>
      </x:c>
      <x:c r="I85" s="11" t="str">
        <x:v>SYNTHETIQUE</x:v>
      </x:c>
    </x:row>
    <x:row r="86" ht="28" customHeight="1">
      <x:c r="A86" s="10" t="str">
        <x:v>COST-081</x:v>
      </x:c>
      <x:c r="B86" s="10" t="str">
        <x:v>AI-012</x:v>
      </x:c>
      <x:c r="C86" s="10" t="str">
        <x:v>2026-08</x:v>
      </x:c>
      <x:c r="D86" s="10" t="str">
        <x:v>Sécurité et conformité</x:v>
      </x:c>
      <x:c r="E86" s="10" t="str">
        <x:v>EUR</x:v>
      </x:c>
      <x:c r="F86" s="14" t="n">
        <x:v>320</x:v>
      </x:c>
      <x:c r="G86" s="10" t="str">
        <x:v>SRC-078</x:v>
      </x:c>
      <x:c r="H86" s="10" t="str">
        <x:v>Coût imputé au mois; sans annualisation ni double compte</x:v>
      </x:c>
      <x:c r="I86" s="10" t="str">
        <x:v>SYNTHETIQUE</x:v>
      </x:c>
    </x:row>
    <x:row r="87" ht="28" customHeight="1">
      <x:c r="A87" s="11" t="str">
        <x:v>COST-082</x:v>
      </x:c>
      <x:c r="B87" s="11" t="str">
        <x:v>AI-012</x:v>
      </x:c>
      <x:c r="C87" s="11" t="str">
        <x:v>2026-08</x:v>
      </x:c>
      <x:c r="D87" s="11" t="str">
        <x:v>Humain</x:v>
      </x:c>
      <x:c r="E87" s="11" t="str">
        <x:v>EUR</x:v>
      </x:c>
      <x:c r="F87" s="15" t="n">
        <x:v>1280</x:v>
      </x:c>
      <x:c r="G87" s="11" t="str">
        <x:v>SRC-078</x:v>
      </x:c>
      <x:c r="H87" s="11" t="str">
        <x:v>Coût imputé au mois; sans annualisation ni double compte</x:v>
      </x:c>
      <x:c r="I87" s="11" t="str">
        <x:v>SYNTHETIQUE</x:v>
      </x:c>
    </x:row>
    <x:row r="88" ht="28" customHeight="1">
      <x:c r="A88" s="10" t="str">
        <x:v>COST-083</x:v>
      </x:c>
      <x:c r="B88" s="10" t="str">
        <x:v>AI-012</x:v>
      </x:c>
      <x:c r="C88" s="10" t="str">
        <x:v>2026-08</x:v>
      </x:c>
      <x:c r="D88" s="10" t="str">
        <x:v>Organisation</x:v>
      </x:c>
      <x:c r="E88" s="10" t="str">
        <x:v>EUR</x:v>
      </x:c>
      <x:c r="F88" s="14" t="n">
        <x:v>256</x:v>
      </x:c>
      <x:c r="G88" s="10" t="str">
        <x:v>SRC-078</x:v>
      </x:c>
      <x:c r="H88" s="10" t="str">
        <x:v>Coût imputé au mois; sans annualisation ni double compte</x:v>
      </x:c>
      <x:c r="I88" s="10" t="str">
        <x:v>SYNTHETIQUE</x:v>
      </x:c>
    </x:row>
    <x:row r="89" ht="28" customHeight="1">
      <x:c r="A89" s="11" t="str">
        <x:v>COST-084</x:v>
      </x:c>
      <x:c r="B89" s="11" t="str">
        <x:v>AI-012</x:v>
      </x:c>
      <x:c r="C89" s="11" t="str">
        <x:v>2026-08</x:v>
      </x:c>
      <x:c r="D89" s="11" t="str">
        <x:v>Run</x:v>
      </x:c>
      <x:c r="E89" s="11" t="str">
        <x:v>EUR</x:v>
      </x:c>
      <x:c r="F89" s="15" t="n">
        <x:v>384</x:v>
      </x:c>
      <x:c r="G89" s="11" t="str">
        <x:v>SRC-078</x:v>
      </x:c>
      <x:c r="H89" s="11" t="str">
        <x:v>Coût imputé au mois; sans annualisation ni double compte</x:v>
      </x:c>
      <x:c r="I89" s="11" t="str">
        <x:v>SYNTHETIQUE</x:v>
      </x:c>
    </x:row>
    <x:row r="90" ht="28" customHeight="1">
      <x:c r="A90" s="10" t="str">
        <x:v>COST-085</x:v>
      </x:c>
      <x:c r="B90" s="10" t="str">
        <x:v>AI-013</x:v>
      </x:c>
      <x:c r="C90" s="10" t="str">
        <x:v>2026-08</x:v>
      </x:c>
      <x:c r="D90" s="10" t="str">
        <x:v>Technologie</x:v>
      </x:c>
      <x:c r="E90" s="10" t="str">
        <x:v>EUR</x:v>
      </x:c>
      <x:c r="F90" s="14" t="n">
        <x:v>1120</x:v>
      </x:c>
      <x:c r="G90" s="10" t="str">
        <x:v>SRC-075</x:v>
      </x:c>
      <x:c r="H90" s="10" t="str">
        <x:v>Coût imputé au mois; sans annualisation ni double compte</x:v>
      </x:c>
      <x:c r="I90" s="10" t="str">
        <x:v>SYNTHETIQUE</x:v>
      </x:c>
    </x:row>
    <x:row r="91" ht="28" customHeight="1">
      <x:c r="A91" s="11" t="str">
        <x:v>COST-086</x:v>
      </x:c>
      <x:c r="B91" s="11" t="str">
        <x:v>AI-013</x:v>
      </x:c>
      <x:c r="C91" s="11" t="str">
        <x:v>2026-08</x:v>
      </x:c>
      <x:c r="D91" s="11" t="str">
        <x:v>Données</x:v>
      </x:c>
      <x:c r="E91" s="11" t="str">
        <x:v>EUR</x:v>
      </x:c>
      <x:c r="F91" s="15" t="n">
        <x:v>140</x:v>
      </x:c>
      <x:c r="G91" s="11" t="str">
        <x:v>SRC-076</x:v>
      </x:c>
      <x:c r="H91" s="11" t="str">
        <x:v>Coût imputé au mois; sans annualisation ni double compte</x:v>
      </x:c>
      <x:c r="I91" s="11" t="str">
        <x:v>SYNTHETIQUE</x:v>
      </x:c>
    </x:row>
    <x:row r="92" ht="28" customHeight="1">
      <x:c r="A92" s="10" t="str">
        <x:v>COST-087</x:v>
      </x:c>
      <x:c r="B92" s="10" t="str">
        <x:v>AI-013</x:v>
      </x:c>
      <x:c r="C92" s="10" t="str">
        <x:v>2026-08</x:v>
      </x:c>
      <x:c r="D92" s="10" t="str">
        <x:v>Intégration</x:v>
      </x:c>
      <x:c r="E92" s="10" t="str">
        <x:v>EUR</x:v>
      </x:c>
      <x:c r="F92" s="14" t="n">
        <x:v>560</x:v>
      </x:c>
      <x:c r="G92" s="10" t="str">
        <x:v>SRC-077</x:v>
      </x:c>
      <x:c r="H92" s="10" t="str">
        <x:v>Coût imputé au mois; sans annualisation ni double compte</x:v>
      </x:c>
      <x:c r="I92" s="10" t="str">
        <x:v>SYNTHETIQUE</x:v>
      </x:c>
    </x:row>
    <x:row r="93" ht="28" customHeight="1">
      <x:c r="A93" s="11" t="str">
        <x:v>COST-088</x:v>
      </x:c>
      <x:c r="B93" s="11" t="str">
        <x:v>AI-013</x:v>
      </x:c>
      <x:c r="C93" s="11" t="str">
        <x:v>2026-08</x:v>
      </x:c>
      <x:c r="D93" s="11" t="str">
        <x:v>Sécurité et conformité</x:v>
      </x:c>
      <x:c r="E93" s="11" t="str">
        <x:v>EUR</x:v>
      </x:c>
      <x:c r="F93" s="15" t="n">
        <x:v>140</x:v>
      </x:c>
      <x:c r="G93" s="11" t="str">
        <x:v>SRC-078</x:v>
      </x:c>
      <x:c r="H93" s="11" t="str">
        <x:v>Coût imputé au mois; sans annualisation ni double compte</x:v>
      </x:c>
      <x:c r="I93" s="11" t="str">
        <x:v>SYNTHETIQUE</x:v>
      </x:c>
    </x:row>
    <x:row r="94" ht="28" customHeight="1">
      <x:c r="A94" s="10" t="str">
        <x:v>COST-089</x:v>
      </x:c>
      <x:c r="B94" s="10" t="str">
        <x:v>AI-013</x:v>
      </x:c>
      <x:c r="C94" s="10" t="str">
        <x:v>2026-08</x:v>
      </x:c>
      <x:c r="D94" s="10" t="str">
        <x:v>Humain</x:v>
      </x:c>
      <x:c r="E94" s="10" t="str">
        <x:v>EUR</x:v>
      </x:c>
      <x:c r="F94" s="14" t="n">
        <x:v>560</x:v>
      </x:c>
      <x:c r="G94" s="10" t="str">
        <x:v>SRC-078</x:v>
      </x:c>
      <x:c r="H94" s="10" t="str">
        <x:v>Coût imputé au mois; sans annualisation ni double compte</x:v>
      </x:c>
      <x:c r="I94" s="10" t="str">
        <x:v>SYNTHETIQUE</x:v>
      </x:c>
    </x:row>
    <x:row r="95" ht="28" customHeight="1">
      <x:c r="A95" s="11" t="str">
        <x:v>COST-090</x:v>
      </x:c>
      <x:c r="B95" s="11" t="str">
        <x:v>AI-013</x:v>
      </x:c>
      <x:c r="C95" s="11" t="str">
        <x:v>2026-08</x:v>
      </x:c>
      <x:c r="D95" s="11" t="str">
        <x:v>Organisation</x:v>
      </x:c>
      <x:c r="E95" s="11" t="str">
        <x:v>EUR</x:v>
      </x:c>
      <x:c r="F95" s="15" t="n">
        <x:v>112</x:v>
      </x:c>
      <x:c r="G95" s="11" t="str">
        <x:v>SRC-078</x:v>
      </x:c>
      <x:c r="H95" s="11" t="str">
        <x:v>Coût imputé au mois; sans annualisation ni double compte</x:v>
      </x:c>
      <x:c r="I95" s="11" t="str">
        <x:v>SYNTHETIQUE</x:v>
      </x:c>
    </x:row>
    <x:row r="96" ht="28" customHeight="1">
      <x:c r="A96" s="10" t="str">
        <x:v>COST-091</x:v>
      </x:c>
      <x:c r="B96" s="10" t="str">
        <x:v>AI-013</x:v>
      </x:c>
      <x:c r="C96" s="10" t="str">
        <x:v>2026-08</x:v>
      </x:c>
      <x:c r="D96" s="10" t="str">
        <x:v>Run</x:v>
      </x:c>
      <x:c r="E96" s="10" t="str">
        <x:v>EUR</x:v>
      </x:c>
      <x:c r="F96" s="14" t="n">
        <x:v>168</x:v>
      </x:c>
      <x:c r="G96" s="10" t="str">
        <x:v>SRC-078</x:v>
      </x:c>
      <x:c r="H96" s="10" t="str">
        <x:v>Coût imputé au mois; sans annualisation ni double compte</x:v>
      </x:c>
      <x:c r="I96" s="10" t="str">
        <x:v>SYNTHETIQUE</x:v>
      </x:c>
    </x:row>
    <x:row r="97" ht="28" customHeight="1">
      <x:c r="A97" s="11" t="str">
        <x:v>COST-092</x:v>
      </x:c>
      <x:c r="B97" s="11" t="str">
        <x:v>AI-014</x:v>
      </x:c>
      <x:c r="C97" s="11" t="str">
        <x:v>2026-08</x:v>
      </x:c>
      <x:c r="D97" s="11" t="str">
        <x:v>Technologie</x:v>
      </x:c>
      <x:c r="E97" s="11" t="str">
        <x:v>EUR</x:v>
      </x:c>
      <x:c r="F97" s="15" t="n">
        <x:v>760</x:v>
      </x:c>
      <x:c r="G97" s="11" t="str">
        <x:v>SRC-075</x:v>
      </x:c>
      <x:c r="H97" s="11" t="str">
        <x:v>Coût imputé au mois; sans annualisation ni double compte</x:v>
      </x:c>
      <x:c r="I97" s="11" t="str">
        <x:v>SYNTHETIQUE</x:v>
      </x:c>
    </x:row>
    <x:row r="98" ht="28" customHeight="1">
      <x:c r="A98" s="10" t="str">
        <x:v>COST-093</x:v>
      </x:c>
      <x:c r="B98" s="10" t="str">
        <x:v>AI-014</x:v>
      </x:c>
      <x:c r="C98" s="10" t="str">
        <x:v>2026-08</x:v>
      </x:c>
      <x:c r="D98" s="10" t="str">
        <x:v>Données</x:v>
      </x:c>
      <x:c r="E98" s="10" t="str">
        <x:v>EUR</x:v>
      </x:c>
      <x:c r="F98" s="14" t="n">
        <x:v>95</x:v>
      </x:c>
      <x:c r="G98" s="10" t="str">
        <x:v>SRC-076</x:v>
      </x:c>
      <x:c r="H98" s="10" t="str">
        <x:v>Coût imputé au mois; sans annualisation ni double compte</x:v>
      </x:c>
      <x:c r="I98" s="10" t="str">
        <x:v>SYNTHETIQUE</x:v>
      </x:c>
    </x:row>
    <x:row r="99" ht="28" customHeight="1">
      <x:c r="A99" s="11" t="str">
        <x:v>COST-094</x:v>
      </x:c>
      <x:c r="B99" s="11" t="str">
        <x:v>AI-014</x:v>
      </x:c>
      <x:c r="C99" s="11" t="str">
        <x:v>2026-08</x:v>
      </x:c>
      <x:c r="D99" s="11" t="str">
        <x:v>Intégration</x:v>
      </x:c>
      <x:c r="E99" s="11" t="str">
        <x:v>EUR</x:v>
      </x:c>
      <x:c r="F99" s="15" t="n">
        <x:v>380</x:v>
      </x:c>
      <x:c r="G99" s="11" t="str">
        <x:v>SRC-077</x:v>
      </x:c>
      <x:c r="H99" s="11" t="str">
        <x:v>Coût imputé au mois; sans annualisation ni double compte</x:v>
      </x:c>
      <x:c r="I99" s="11" t="str">
        <x:v>SYNTHETIQUE</x:v>
      </x:c>
    </x:row>
    <x:row r="100" ht="28" customHeight="1">
      <x:c r="A100" s="10" t="str">
        <x:v>COST-095</x:v>
      </x:c>
      <x:c r="B100" s="10" t="str">
        <x:v>AI-014</x:v>
      </x:c>
      <x:c r="C100" s="10" t="str">
        <x:v>2026-08</x:v>
      </x:c>
      <x:c r="D100" s="10" t="str">
        <x:v>Sécurité et conformité</x:v>
      </x:c>
      <x:c r="E100" s="10" t="str">
        <x:v>EUR</x:v>
      </x:c>
      <x:c r="F100" s="14" t="n">
        <x:v>95</x:v>
      </x:c>
      <x:c r="G100" s="10" t="str">
        <x:v>SRC-078</x:v>
      </x:c>
      <x:c r="H100" s="10" t="str">
        <x:v>Coût imputé au mois; sans annualisation ni double compte</x:v>
      </x:c>
      <x:c r="I100" s="10" t="str">
        <x:v>SYNTHETIQUE</x:v>
      </x:c>
    </x:row>
    <x:row r="101" ht="28" customHeight="1">
      <x:c r="A101" s="11" t="str">
        <x:v>COST-096</x:v>
      </x:c>
      <x:c r="B101" s="11" t="str">
        <x:v>AI-014</x:v>
      </x:c>
      <x:c r="C101" s="11" t="str">
        <x:v>2026-08</x:v>
      </x:c>
      <x:c r="D101" s="11" t="str">
        <x:v>Humain</x:v>
      </x:c>
      <x:c r="E101" s="11" t="str">
        <x:v>EUR</x:v>
      </x:c>
      <x:c r="F101" s="15" t="n">
        <x:v>380</x:v>
      </x:c>
      <x:c r="G101" s="11" t="str">
        <x:v>SRC-078</x:v>
      </x:c>
      <x:c r="H101" s="11" t="str">
        <x:v>Coût imputé au mois; sans annualisation ni double compte</x:v>
      </x:c>
      <x:c r="I101" s="11" t="str">
        <x:v>SYNTHETIQUE</x:v>
      </x:c>
    </x:row>
    <x:row r="102" ht="28" customHeight="1">
      <x:c r="A102" s="10" t="str">
        <x:v>COST-097</x:v>
      </x:c>
      <x:c r="B102" s="10" t="str">
        <x:v>AI-014</x:v>
      </x:c>
      <x:c r="C102" s="10" t="str">
        <x:v>2026-08</x:v>
      </x:c>
      <x:c r="D102" s="10" t="str">
        <x:v>Organisation</x:v>
      </x:c>
      <x:c r="E102" s="10" t="str">
        <x:v>EUR</x:v>
      </x:c>
      <x:c r="F102" s="14" t="n">
        <x:v>76</x:v>
      </x:c>
      <x:c r="G102" s="10" t="str">
        <x:v>SRC-078</x:v>
      </x:c>
      <x:c r="H102" s="10" t="str">
        <x:v>Coût imputé au mois; sans annualisation ni double compte</x:v>
      </x:c>
      <x:c r="I102" s="10" t="str">
        <x:v>SYNTHETIQUE</x:v>
      </x:c>
    </x:row>
    <x:row r="103" ht="28" customHeight="1">
      <x:c r="A103" s="11" t="str">
        <x:v>COST-098</x:v>
      </x:c>
      <x:c r="B103" s="11" t="str">
        <x:v>AI-014</x:v>
      </x:c>
      <x:c r="C103" s="11" t="str">
        <x:v>2026-08</x:v>
      </x:c>
      <x:c r="D103" s="11" t="str">
        <x:v>Run</x:v>
      </x:c>
      <x:c r="E103" s="11" t="str">
        <x:v>EUR</x:v>
      </x:c>
      <x:c r="F103" s="15" t="n">
        <x:v>114</x:v>
      </x:c>
      <x:c r="G103" s="11" t="str">
        <x:v>SRC-078</x:v>
      </x:c>
      <x:c r="H103" s="11" t="str">
        <x:v>Coût imputé au mois; sans annualisation ni double compte</x:v>
      </x:c>
      <x:c r="I103" s="11" t="str">
        <x:v>SYNTHETIQUE</x:v>
      </x:c>
    </x:row>
    <x:row r="104" ht="28" customHeight="1">
      <x:c r="A104" s="10" t="str">
        <x:v>COST-099</x:v>
      </x:c>
      <x:c r="B104" s="10" t="str">
        <x:v>AI-015</x:v>
      </x:c>
      <x:c r="C104" s="10" t="str">
        <x:v>2026-08</x:v>
      </x:c>
      <x:c r="D104" s="10" t="str">
        <x:v>Technologie</x:v>
      </x:c>
      <x:c r="E104" s="10" t="str">
        <x:v>EUR</x:v>
      </x:c>
      <x:c r="F104" s="14" t="n">
        <x:v>1440</x:v>
      </x:c>
      <x:c r="G104" s="10" t="str">
        <x:v>SRC-075</x:v>
      </x:c>
      <x:c r="H104" s="10" t="str">
        <x:v>Coût imputé au mois; sans annualisation ni double compte</x:v>
      </x:c>
      <x:c r="I104" s="10" t="str">
        <x:v>SYNTHETIQUE</x:v>
      </x:c>
    </x:row>
    <x:row r="105" ht="28" customHeight="1">
      <x:c r="A105" s="11" t="str">
        <x:v>COST-100</x:v>
      </x:c>
      <x:c r="B105" s="11" t="str">
        <x:v>AI-015</x:v>
      </x:c>
      <x:c r="C105" s="11" t="str">
        <x:v>2026-08</x:v>
      </x:c>
      <x:c r="D105" s="11" t="str">
        <x:v>Données</x:v>
      </x:c>
      <x:c r="E105" s="11" t="str">
        <x:v>EUR</x:v>
      </x:c>
      <x:c r="F105" s="15" t="n">
        <x:v>180</x:v>
      </x:c>
      <x:c r="G105" s="11" t="str">
        <x:v>SRC-076</x:v>
      </x:c>
      <x:c r="H105" s="11" t="str">
        <x:v>Coût imputé au mois; sans annualisation ni double compte</x:v>
      </x:c>
      <x:c r="I105" s="11" t="str">
        <x:v>SYNTHETIQUE</x:v>
      </x:c>
    </x:row>
    <x:row r="106" ht="28" customHeight="1">
      <x:c r="A106" s="10" t="str">
        <x:v>COST-101</x:v>
      </x:c>
      <x:c r="B106" s="10" t="str">
        <x:v>AI-015</x:v>
      </x:c>
      <x:c r="C106" s="10" t="str">
        <x:v>2026-08</x:v>
      </x:c>
      <x:c r="D106" s="10" t="str">
        <x:v>Intégration</x:v>
      </x:c>
      <x:c r="E106" s="10" t="str">
        <x:v>EUR</x:v>
      </x:c>
      <x:c r="F106" s="14" t="n">
        <x:v>720</x:v>
      </x:c>
      <x:c r="G106" s="10" t="str">
        <x:v>SRC-077</x:v>
      </x:c>
      <x:c r="H106" s="10" t="str">
        <x:v>Coût imputé au mois; sans annualisation ni double compte</x:v>
      </x:c>
      <x:c r="I106" s="10" t="str">
        <x:v>SYNTHETIQUE</x:v>
      </x:c>
    </x:row>
    <x:row r="107" ht="28" customHeight="1">
      <x:c r="A107" s="11" t="str">
        <x:v>COST-102</x:v>
      </x:c>
      <x:c r="B107" s="11" t="str">
        <x:v>AI-015</x:v>
      </x:c>
      <x:c r="C107" s="11" t="str">
        <x:v>2026-08</x:v>
      </x:c>
      <x:c r="D107" s="11" t="str">
        <x:v>Sécurité et conformité</x:v>
      </x:c>
      <x:c r="E107" s="11" t="str">
        <x:v>EUR</x:v>
      </x:c>
      <x:c r="F107" s="15" t="n">
        <x:v>180</x:v>
      </x:c>
      <x:c r="G107" s="11" t="str">
        <x:v>SRC-078</x:v>
      </x:c>
      <x:c r="H107" s="11" t="str">
        <x:v>Coût imputé au mois; sans annualisation ni double compte</x:v>
      </x:c>
      <x:c r="I107" s="11" t="str">
        <x:v>SYNTHETIQUE</x:v>
      </x:c>
    </x:row>
    <x:row r="108" ht="28" customHeight="1">
      <x:c r="A108" s="10" t="str">
        <x:v>COST-103</x:v>
      </x:c>
      <x:c r="B108" s="10" t="str">
        <x:v>AI-015</x:v>
      </x:c>
      <x:c r="C108" s="10" t="str">
        <x:v>2026-08</x:v>
      </x:c>
      <x:c r="D108" s="10" t="str">
        <x:v>Humain</x:v>
      </x:c>
      <x:c r="E108" s="10" t="str">
        <x:v>EUR</x:v>
      </x:c>
      <x:c r="F108" s="14" t="n">
        <x:v>720</x:v>
      </x:c>
      <x:c r="G108" s="10" t="str">
        <x:v>SRC-078</x:v>
      </x:c>
      <x:c r="H108" s="10" t="str">
        <x:v>Coût imputé au mois; sans annualisation ni double compte</x:v>
      </x:c>
      <x:c r="I108" s="10" t="str">
        <x:v>SYNTHETIQUE</x:v>
      </x:c>
    </x:row>
    <x:row r="109" ht="28" customHeight="1">
      <x:c r="A109" s="11" t="str">
        <x:v>COST-104</x:v>
      </x:c>
      <x:c r="B109" s="11" t="str">
        <x:v>AI-015</x:v>
      </x:c>
      <x:c r="C109" s="11" t="str">
        <x:v>2026-08</x:v>
      </x:c>
      <x:c r="D109" s="11" t="str">
        <x:v>Organisation</x:v>
      </x:c>
      <x:c r="E109" s="11" t="str">
        <x:v>EUR</x:v>
      </x:c>
      <x:c r="F109" s="15" t="n">
        <x:v>144</x:v>
      </x:c>
      <x:c r="G109" s="11" t="str">
        <x:v>SRC-078</x:v>
      </x:c>
      <x:c r="H109" s="11" t="str">
        <x:v>Coût imputé au mois; sans annualisation ni double compte</x:v>
      </x:c>
      <x:c r="I109" s="11" t="str">
        <x:v>SYNTHETIQUE</x:v>
      </x:c>
    </x:row>
    <x:row r="110" ht="28" customHeight="1">
      <x:c r="A110" s="10" t="str">
        <x:v>COST-105</x:v>
      </x:c>
      <x:c r="B110" s="10" t="str">
        <x:v>AI-015</x:v>
      </x:c>
      <x:c r="C110" s="10" t="str">
        <x:v>2026-08</x:v>
      </x:c>
      <x:c r="D110" s="10" t="str">
        <x:v>Run</x:v>
      </x:c>
      <x:c r="E110" s="10" t="str">
        <x:v>EUR</x:v>
      </x:c>
      <x:c r="F110" s="14" t="n">
        <x:v>216</x:v>
      </x:c>
      <x:c r="G110" s="10" t="str">
        <x:v>SRC-078</x:v>
      </x:c>
      <x:c r="H110" s="10" t="str">
        <x:v>Coût imputé au mois; sans annualisation ni double compte</x:v>
      </x:c>
      <x:c r="I110" s="10" t="str">
        <x:v>SYNTHETIQUE</x:v>
      </x:c>
    </x:row>
    <x:row r="111" ht="28" customHeight="1">
      <x:c r="A111" s="11" t="str">
        <x:v>COST-106</x:v>
      </x:c>
      <x:c r="B111" s="11" t="str">
        <x:v>AI-016</x:v>
      </x:c>
      <x:c r="C111" s="11" t="str">
        <x:v>2026-08</x:v>
      </x:c>
      <x:c r="D111" s="11" t="str">
        <x:v>Technologie</x:v>
      </x:c>
      <x:c r="E111" s="11" t="str">
        <x:v>EUR</x:v>
      </x:c>
      <x:c r="F111" s="15" t="n">
        <x:v>192</x:v>
      </x:c>
      <x:c r="G111" s="11" t="str">
        <x:v>SRC-075</x:v>
      </x:c>
      <x:c r="H111" s="11" t="str">
        <x:v>Coût imputé au mois; sans annualisation ni double compte</x:v>
      </x:c>
      <x:c r="I111" s="11" t="str">
        <x:v>SYNTHETIQUE</x:v>
      </x:c>
    </x:row>
    <x:row r="112" ht="28" customHeight="1">
      <x:c r="A112" s="10" t="str">
        <x:v>COST-107</x:v>
      </x:c>
      <x:c r="B112" s="10" t="str">
        <x:v>AI-016</x:v>
      </x:c>
      <x:c r="C112" s="10" t="str">
        <x:v>2026-08</x:v>
      </x:c>
      <x:c r="D112" s="10" t="str">
        <x:v>Données</x:v>
      </x:c>
      <x:c r="E112" s="10" t="str">
        <x:v>EUR</x:v>
      </x:c>
      <x:c r="F112" s="14" t="n">
        <x:v>24</x:v>
      </x:c>
      <x:c r="G112" s="10" t="str">
        <x:v>SRC-076</x:v>
      </x:c>
      <x:c r="H112" s="10" t="str">
        <x:v>Coût imputé au mois; sans annualisation ni double compte</x:v>
      </x:c>
      <x:c r="I112" s="10" t="str">
        <x:v>SYNTHETIQUE</x:v>
      </x:c>
    </x:row>
    <x:row r="113" ht="28" customHeight="1">
      <x:c r="A113" s="11" t="str">
        <x:v>COST-108</x:v>
      </x:c>
      <x:c r="B113" s="11" t="str">
        <x:v>AI-016</x:v>
      </x:c>
      <x:c r="C113" s="11" t="str">
        <x:v>2026-08</x:v>
      </x:c>
      <x:c r="D113" s="11" t="str">
        <x:v>Intégration</x:v>
      </x:c>
      <x:c r="E113" s="11" t="str">
        <x:v>EUR</x:v>
      </x:c>
      <x:c r="F113" s="15" t="n">
        <x:v>96</x:v>
      </x:c>
      <x:c r="G113" s="11" t="str">
        <x:v>SRC-077</x:v>
      </x:c>
      <x:c r="H113" s="11" t="str">
        <x:v>Coût imputé au mois; sans annualisation ni double compte</x:v>
      </x:c>
      <x:c r="I113" s="11" t="str">
        <x:v>SYNTHETIQUE</x:v>
      </x:c>
    </x:row>
    <x:row r="114" ht="28" customHeight="1">
      <x:c r="A114" s="10" t="str">
        <x:v>COST-109</x:v>
      </x:c>
      <x:c r="B114" s="10" t="str">
        <x:v>AI-016</x:v>
      </x:c>
      <x:c r="C114" s="10" t="str">
        <x:v>2026-08</x:v>
      </x:c>
      <x:c r="D114" s="10" t="str">
        <x:v>Sécurité et conformité</x:v>
      </x:c>
      <x:c r="E114" s="10" t="str">
        <x:v>EUR</x:v>
      </x:c>
      <x:c r="F114" s="14" t="n">
        <x:v>24</x:v>
      </x:c>
      <x:c r="G114" s="10" t="str">
        <x:v>SRC-078</x:v>
      </x:c>
      <x:c r="H114" s="10" t="str">
        <x:v>Coût imputé au mois; sans annualisation ni double compte</x:v>
      </x:c>
      <x:c r="I114" s="10" t="str">
        <x:v>SYNTHETIQUE</x:v>
      </x:c>
    </x:row>
    <x:row r="115" ht="28" customHeight="1">
      <x:c r="A115" s="11" t="str">
        <x:v>COST-110</x:v>
      </x:c>
      <x:c r="B115" s="11" t="str">
        <x:v>AI-016</x:v>
      </x:c>
      <x:c r="C115" s="11" t="str">
        <x:v>2026-08</x:v>
      </x:c>
      <x:c r="D115" s="11" t="str">
        <x:v>Humain</x:v>
      </x:c>
      <x:c r="E115" s="11" t="str">
        <x:v>EUR</x:v>
      </x:c>
      <x:c r="F115" s="15" t="n">
        <x:v>96</x:v>
      </x:c>
      <x:c r="G115" s="11" t="str">
        <x:v>SRC-078</x:v>
      </x:c>
      <x:c r="H115" s="11" t="str">
        <x:v>Coût imputé au mois; sans annualisation ni double compte</x:v>
      </x:c>
      <x:c r="I115" s="11" t="str">
        <x:v>SYNTHETIQUE</x:v>
      </x:c>
    </x:row>
    <x:row r="116" ht="28" customHeight="1">
      <x:c r="A116" s="10" t="str">
        <x:v>COST-111</x:v>
      </x:c>
      <x:c r="B116" s="10" t="str">
        <x:v>AI-016</x:v>
      </x:c>
      <x:c r="C116" s="10" t="str">
        <x:v>2026-08</x:v>
      </x:c>
      <x:c r="D116" s="10" t="str">
        <x:v>Organisation</x:v>
      </x:c>
      <x:c r="E116" s="10" t="str">
        <x:v>EUR</x:v>
      </x:c>
      <x:c r="F116" s="14" t="n">
        <x:v>19</x:v>
      </x:c>
      <x:c r="G116" s="10" t="str">
        <x:v>SRC-078</x:v>
      </x:c>
      <x:c r="H116" s="10" t="str">
        <x:v>Coût imputé au mois; sans annualisation ni double compte</x:v>
      </x:c>
      <x:c r="I116" s="10" t="str">
        <x:v>SYNTHETIQUE</x:v>
      </x:c>
    </x:row>
    <x:row r="117" ht="28" customHeight="1">
      <x:c r="A117" s="11" t="str">
        <x:v>COST-112</x:v>
      </x:c>
      <x:c r="B117" s="11" t="str">
        <x:v>AI-016</x:v>
      </x:c>
      <x:c r="C117" s="11" t="str">
        <x:v>2026-08</x:v>
      </x:c>
      <x:c r="D117" s="11" t="str">
        <x:v>Run</x:v>
      </x:c>
      <x:c r="E117" s="11" t="str">
        <x:v>EUR</x:v>
      </x:c>
      <x:c r="F117" s="15" t="n">
        <x:v>29</x:v>
      </x:c>
      <x:c r="G117" s="11" t="str">
        <x:v>SRC-078</x:v>
      </x:c>
      <x:c r="H117" s="11" t="str">
        <x:v>Coût imputé au mois; sans annualisation ni double compte</x:v>
      </x:c>
      <x:c r="I117" s="11" t="str">
        <x:v>SYNTHETIQUE</x:v>
      </x:c>
    </x:row>
  </x:sheetData>
  <x:pageMargins left="0.7" right="0.7" top="0.75" bottom="0.75" header="0.3" footer="0.3"/>
  <x:tableParts count="1">
    <x:tablePart xmlns:r="http://schemas.openxmlformats.org/officeDocument/2006/relationships" r:id="Rbe5145cd378a4b0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9" hidden="0" customWidth="1"/>
    <x:col min="2" max="2" width="17" hidden="0" customWidth="1"/>
    <x:col min="3" max="3" width="17" hidden="0" customWidth="1"/>
    <x:col min="4" max="4" width="30" hidden="0" customWidth="1"/>
    <x:col min="5" max="5" width="30" hidden="0" customWidth="1"/>
    <x:col min="6" max="6" width="30" hidden="0" customWidth="1"/>
    <x:col min="7" max="7" width="33" hidden="0" customWidth="1"/>
    <x:col min="8" max="8" width="90" hidden="0" customWidth="1"/>
    <x:col min="9" max="9" width="18" hidden="0" customWidth="1"/>
    <x:col min="10" max="10" width="2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Valeur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4" t="str">
        <x:v>DONNÉES SYNTHÉTIQUES — Assureur Démo France — août 2026 / état au 20 septembre 2026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42" customHeight="1">
      <x:c r="A5" s="8" t="str">
        <x:v>value_id</x:v>
      </x:c>
      <x:c r="B5" s="8" t="str">
        <x:v>ai_id</x:v>
      </x:c>
      <x:c r="C5" s="8" t="str">
        <x:v>Mois</x:v>
      </x:c>
      <x:c r="D5" s="8" t="str">
        <x:v>Heures libérées simulées</x:v>
      </x:c>
      <x:c r="E5" s="8" t="str">
        <x:v>Économie budgétaire EUR</x:v>
      </x:c>
      <x:c r="F5" s="8" t="str">
        <x:v>Perte évitée estimée EUR</x:v>
      </x:c>
      <x:c r="G5" s="8" t="str">
        <x:v>Revenu attribué estimé EUR</x:v>
      </x:c>
      <x:c r="H5" s="8" t="str">
        <x:v>Méthode / limite</x:v>
      </x:c>
      <x:c r="I5" s="8" t="str">
        <x:v>source_id</x:v>
      </x:c>
      <x:c r="J5" s="8" t="str">
        <x:v>Nature</x:v>
      </x:c>
    </x:row>
    <x:row r="6" ht="28" customHeight="1">
      <x:c r="A6" s="10" t="str">
        <x:v>VAL-001</x:v>
      </x:c>
      <x:c r="B6" s="10" t="str">
        <x:v>AI-001</x:v>
      </x:c>
      <x:c r="C6" s="10" t="str">
        <x:v>2026-08</x:v>
      </x:c>
      <x:c r="D6" s="14" t="n">
        <x:v>180</x:v>
      </x:c>
      <x:c r="E6" s="14" t="n">
        <x:v>0</x:v>
      </x:c>
      <x:c r="F6" s="14" t="n">
        <x:v>0</x:v>
      </x:c>
      <x:c r="G6" s="14" t="n">
        <x:v>0</x:v>
      </x:c>
      <x:c r="H6" s="10" t="str">
        <x:v>1800 tâches assistées × 6 minutes / 60</x:v>
      </x:c>
      <x:c r="I6" s="10" t="str">
        <x:v>SRC-079</x:v>
      </x:c>
      <x:c r="J6" s="10" t="str">
        <x:v>SYNTHETIQUE</x:v>
      </x:c>
    </x:row>
    <x:row r="7" ht="28" customHeight="1">
      <x:c r="A7" s="11" t="str">
        <x:v>VAL-002</x:v>
      </x:c>
      <x:c r="B7" s="11" t="str">
        <x:v>AI-002</x:v>
      </x:c>
      <x:c r="C7" s="11" t="str">
        <x:v>2026-08</x:v>
      </x:c>
      <x:c r="D7" s="15" t="n">
        <x:v>80</x:v>
      </x:c>
      <x:c r="E7" s="15" t="n">
        <x:v>10000</x:v>
      </x:c>
      <x:c r="F7" s="15" t="n">
        <x:v>0</x:v>
      </x:c>
      <x:c r="G7" s="15" t="n">
        <x:v>0</x:v>
      </x:c>
      <x:c r="H7" s="11" t="str">
        <x:v>Mesure fictive de temps; économie comptable distincte</x:v>
      </x:c>
      <x:c r="I7" s="11" t="str">
        <x:v>SRC-079</x:v>
      </x:c>
      <x:c r="J7" s="11" t="str">
        <x:v>SYNTHETIQUE</x:v>
      </x:c>
    </x:row>
    <x:row r="8" ht="28" customHeight="1">
      <x:c r="A8" s="10" t="str">
        <x:v>VAL-003</x:v>
      </x:c>
      <x:c r="B8" s="10" t="str">
        <x:v>AI-003</x:v>
      </x:c>
      <x:c r="C8" s="10" t="str">
        <x:v>2026-08</x:v>
      </x:c>
      <x:c r="D8" s="14" t="n">
        <x:v>120</x:v>
      </x:c>
      <x:c r="E8" s="14" t="n">
        <x:v>0</x:v>
      </x:c>
      <x:c r="F8" s="14" t="n">
        <x:v>0</x:v>
      </x:c>
      <x:c r="G8" s="14" t="n">
        <x:v>8000</x:v>
      </x:c>
      <x:c r="H8" s="10" t="str">
        <x:v>Périmètres commerciaux possiblement chevauchants; pas de somme des heures</x:v>
      </x:c>
      <x:c r="I8" s="10" t="str">
        <x:v>SRC-079</x:v>
      </x:c>
      <x:c r="J8" s="10" t="str">
        <x:v>SYNTHETIQUE</x:v>
      </x:c>
    </x:row>
    <x:row r="9" ht="28" customHeight="1">
      <x:c r="A9" s="11" t="str">
        <x:v>VAL-004</x:v>
      </x:c>
      <x:c r="B9" s="11" t="str">
        <x:v>AI-004</x:v>
      </x:c>
      <x:c r="C9" s="11" t="str">
        <x:v>2026-08</x:v>
      </x:c>
      <x:c r="D9" s="15" t="n">
        <x:v>90</x:v>
      </x:c>
      <x:c r="E9" s="15" t="n">
        <x:v>0</x:v>
      </x:c>
      <x:c r="F9" s="15" t="n">
        <x:v>0</x:v>
      </x:c>
      <x:c r="G9" s="15" t="n">
        <x:v>0</x:v>
      </x:c>
      <x:c r="H9" s="11" t="str">
        <x:v>Périmètres commerciaux possiblement chevauchants; pas de somme des heures</x:v>
      </x:c>
      <x:c r="I9" s="11" t="str">
        <x:v>SRC-079</x:v>
      </x:c>
      <x:c r="J9" s="11" t="str">
        <x:v>SYNTHETIQUE</x:v>
      </x:c>
    </x:row>
    <x:row r="10" ht="28" customHeight="1">
      <x:c r="A10" s="10" t="str">
        <x:v>VAL-005</x:v>
      </x:c>
      <x:c r="B10" s="10" t="str">
        <x:v>AI-005</x:v>
      </x:c>
      <x:c r="C10" s="10" t="str">
        <x:v>2026-08</x:v>
      </x:c>
      <x:c r="D10" s="14" t="n">
        <x:v>210</x:v>
      </x:c>
      <x:c r="E10" s="14" t="n">
        <x:v>4000</x:v>
      </x:c>
      <x:c r="F10" s="14" t="n">
        <x:v>0</x:v>
      </x:c>
      <x:c r="G10" s="14" t="n">
        <x:v>0</x:v>
      </x:c>
      <x:c r="H10" s="10" t="str">
        <x:v>Mesure fictive de temps; économie comptable distincte</x:v>
      </x:c>
      <x:c r="I10" s="10" t="str">
        <x:v>SRC-079</x:v>
      </x:c>
      <x:c r="J10" s="10" t="str">
        <x:v>SYNTHETIQUE</x:v>
      </x:c>
    </x:row>
    <x:row r="11" ht="28" customHeight="1">
      <x:c r="A11" s="11" t="str">
        <x:v>VAL-006</x:v>
      </x:c>
      <x:c r="B11" s="11" t="str">
        <x:v>AI-006</x:v>
      </x:c>
      <x:c r="C11" s="11" t="str">
        <x:v>2026-08</x:v>
      </x:c>
      <x:c r="D11" s="15" t="n">
        <x:v>350</x:v>
      </x:c>
      <x:c r="E11" s="15" t="n">
        <x:v>0</x:v>
      </x:c>
      <x:c r="F11" s="15" t="n">
        <x:v>0</x:v>
      </x:c>
      <x:c r="G11" s="15" t="n">
        <x:v>0</x:v>
      </x:c>
      <x:c r="H11" s="11" t="str">
        <x:v>Mesure fictive de temps; économie comptable distincte</x:v>
      </x:c>
      <x:c r="I11" s="11" t="str">
        <x:v>SRC-079</x:v>
      </x:c>
      <x:c r="J11" s="11" t="str">
        <x:v>SYNTHETIQUE</x:v>
      </x:c>
    </x:row>
    <x:row r="12" ht="28" customHeight="1">
      <x:c r="A12" s="10" t="str">
        <x:v>VAL-007</x:v>
      </x:c>
      <x:c r="B12" s="10" t="str">
        <x:v>AI-007</x:v>
      </x:c>
      <x:c r="C12" s="10" t="str">
        <x:v>2026-08</x:v>
      </x:c>
      <x:c r="D12" s="14" t="n">
        <x:v>40</x:v>
      </x:c>
      <x:c r="E12" s="14" t="n">
        <x:v>0</x:v>
      </x:c>
      <x:c r="F12" s="14" t="n">
        <x:v>0</x:v>
      </x:c>
      <x:c r="G12" s="14" t="n">
        <x:v>0</x:v>
      </x:c>
      <x:c r="H12" s="10" t="str">
        <x:v>Mesure fictive de temps; économie comptable distincte</x:v>
      </x:c>
      <x:c r="I12" s="10" t="str">
        <x:v>SRC-079</x:v>
      </x:c>
      <x:c r="J12" s="10" t="str">
        <x:v>SYNTHETIQUE</x:v>
      </x:c>
    </x:row>
    <x:row r="13" ht="28" customHeight="1">
      <x:c r="A13" s="11" t="str">
        <x:v>VAL-008</x:v>
      </x:c>
      <x:c r="B13" s="11" t="str">
        <x:v>AI-008</x:v>
      </x:c>
      <x:c r="C13" s="11" t="str">
        <x:v>2026-08</x:v>
      </x:c>
      <x:c r="D13" s="15" t="n">
        <x:v>95</x:v>
      </x:c>
      <x:c r="E13" s="15" t="n">
        <x:v>0</x:v>
      </x:c>
      <x:c r="F13" s="15" t="n">
        <x:v>0</x:v>
      </x:c>
      <x:c r="G13" s="15" t="n">
        <x:v>5000</x:v>
      </x:c>
      <x:c r="H13" s="11" t="str">
        <x:v>Mesure fictive de temps; économie comptable distincte</x:v>
      </x:c>
      <x:c r="I13" s="11" t="str">
        <x:v>SRC-079</x:v>
      </x:c>
      <x:c r="J13" s="11" t="str">
        <x:v>SYNTHETIQUE</x:v>
      </x:c>
    </x:row>
    <x:row r="14" ht="28" customHeight="1">
      <x:c r="A14" s="10" t="str">
        <x:v>VAL-009</x:v>
      </x:c>
      <x:c r="B14" s="10" t="str">
        <x:v>AI-009</x:v>
      </x:c>
      <x:c r="C14" s="10" t="str">
        <x:v>2026-08</x:v>
      </x:c>
      <x:c r="D14" s="14" t="n">
        <x:v>75</x:v>
      </x:c>
      <x:c r="E14" s="14" t="n">
        <x:v>3000</x:v>
      </x:c>
      <x:c r="F14" s="14" t="n">
        <x:v>0</x:v>
      </x:c>
      <x:c r="G14" s="14" t="n">
        <x:v>0</x:v>
      </x:c>
      <x:c r="H14" s="10" t="str">
        <x:v>Mesure fictive de temps; économie comptable distincte</x:v>
      </x:c>
      <x:c r="I14" s="10" t="str">
        <x:v>SRC-079</x:v>
      </x:c>
      <x:c r="J14" s="10" t="str">
        <x:v>SYNTHETIQUE</x:v>
      </x:c>
    </x:row>
    <x:row r="15" ht="28" customHeight="1">
      <x:c r="A15" s="11" t="str">
        <x:v>VAL-010</x:v>
      </x:c>
      <x:c r="B15" s="11" t="str">
        <x:v>AI-010</x:v>
      </x:c>
      <x:c r="C15" s="11" t="str">
        <x:v>2026-08</x:v>
      </x:c>
      <x:c r="D15" s="15" t="n">
        <x:v>45</x:v>
      </x:c>
      <x:c r="E15" s="15" t="n">
        <x:v>0</x:v>
      </x:c>
      <x:c r="F15" s="15" t="n">
        <x:v>0</x:v>
      </x:c>
      <x:c r="G15" s="15" t="n">
        <x:v>0</x:v>
      </x:c>
      <x:c r="H15" s="11" t="str">
        <x:v>Mesure fictive de temps; économie comptable distincte</x:v>
      </x:c>
      <x:c r="I15" s="11" t="str">
        <x:v>SRC-079</x:v>
      </x:c>
      <x:c r="J15" s="11" t="str">
        <x:v>SYNTHETIQUE</x:v>
      </x:c>
    </x:row>
    <x:row r="16" ht="28" customHeight="1">
      <x:c r="A16" s="10" t="str">
        <x:v>VAL-011</x:v>
      </x:c>
      <x:c r="B16" s="10" t="str">
        <x:v>AI-011</x:v>
      </x:c>
      <x:c r="C16" s="10" t="str">
        <x:v>2026-08</x:v>
      </x:c>
      <x:c r="D16" s="14" t="n">
        <x:v>60</x:v>
      </x:c>
      <x:c r="E16" s="14" t="n">
        <x:v>0</x:v>
      </x:c>
      <x:c r="F16" s="14" t="n">
        <x:v>0</x:v>
      </x:c>
      <x:c r="G16" s="14" t="n">
        <x:v>0</x:v>
      </x:c>
      <x:c r="H16" s="10" t="str">
        <x:v>Mesure fictive de temps; économie comptable distincte</x:v>
      </x:c>
      <x:c r="I16" s="10" t="str">
        <x:v>SRC-079</x:v>
      </x:c>
      <x:c r="J16" s="10" t="str">
        <x:v>SYNTHETIQUE</x:v>
      </x:c>
    </x:row>
    <x:row r="17" ht="28" customHeight="1">
      <x:c r="A17" s="11" t="str">
        <x:v>VAL-012</x:v>
      </x:c>
      <x:c r="B17" s="11" t="str">
        <x:v>AI-012</x:v>
      </x:c>
      <x:c r="C17" s="11" t="str">
        <x:v>2026-08</x:v>
      </x:c>
      <x:c r="D17" s="15" t="n">
        <x:v>110</x:v>
      </x:c>
      <x:c r="E17" s="15" t="n">
        <x:v>0</x:v>
      </x:c>
      <x:c r="F17" s="15" t="n">
        <x:v>12000</x:v>
      </x:c>
      <x:c r="G17" s="15" t="n">
        <x:v>0</x:v>
      </x:c>
      <x:c r="H17" s="11" t="str">
        <x:v>Mesure fictive de temps; économie comptable distincte</x:v>
      </x:c>
      <x:c r="I17" s="11" t="str">
        <x:v>SRC-079</x:v>
      </x:c>
      <x:c r="J17" s="11" t="str">
        <x:v>SYNTHETIQUE</x:v>
      </x:c>
    </x:row>
    <x:row r="18" ht="28" customHeight="1">
      <x:c r="A18" s="10" t="str">
        <x:v>VAL-013</x:v>
      </x:c>
      <x:c r="B18" s="10" t="str">
        <x:v>AI-013</x:v>
      </x:c>
      <x:c r="C18" s="10" t="str">
        <x:v>2026-08</x:v>
      </x:c>
      <x:c r="D18" s="14" t="n">
        <x:v>90</x:v>
      </x:c>
      <x:c r="E18" s="14" t="n">
        <x:v>2000</x:v>
      </x:c>
      <x:c r="F18" s="14" t="n">
        <x:v>0</x:v>
      </x:c>
      <x:c r="G18" s="14" t="n">
        <x:v>0</x:v>
      </x:c>
      <x:c r="H18" s="10" t="str">
        <x:v>Mesure fictive de temps; économie comptable distincte</x:v>
      </x:c>
      <x:c r="I18" s="10" t="str">
        <x:v>SRC-079</x:v>
      </x:c>
      <x:c r="J18" s="10" t="str">
        <x:v>SYNTHETIQUE</x:v>
      </x:c>
    </x:row>
    <x:row r="19" ht="28" customHeight="1">
      <x:c r="A19" s="11" t="str">
        <x:v>VAL-014</x:v>
      </x:c>
      <x:c r="B19" s="11" t="str">
        <x:v>AI-014</x:v>
      </x:c>
      <x:c r="C19" s="11" t="str">
        <x:v>2026-08</x:v>
      </x:c>
      <x:c r="D19" s="15" t="n">
        <x:v>35</x:v>
      </x:c>
      <x:c r="E19" s="15" t="n">
        <x:v>0</x:v>
      </x:c>
      <x:c r="F19" s="15" t="n">
        <x:v>0</x:v>
      </x:c>
      <x:c r="G19" s="15" t="n">
        <x:v>0</x:v>
      </x:c>
      <x:c r="H19" s="11" t="str">
        <x:v>Mesure fictive de temps; économie comptable distincte</x:v>
      </x:c>
      <x:c r="I19" s="11" t="str">
        <x:v>SRC-079</x:v>
      </x:c>
      <x:c r="J19" s="11" t="str">
        <x:v>SYNTHETIQUE</x:v>
      </x:c>
    </x:row>
    <x:row r="20" ht="28" customHeight="1">
      <x:c r="A20" s="10" t="str">
        <x:v>VAL-015</x:v>
      </x:c>
      <x:c r="B20" s="10" t="str">
        <x:v>AI-015</x:v>
      </x:c>
      <x:c r="C20" s="10" t="str">
        <x:v>2026-08</x:v>
      </x:c>
      <x:c r="D20" s="14" t="n">
        <x:v>20</x:v>
      </x:c>
      <x:c r="E20" s="14" t="n">
        <x:v>0</x:v>
      </x:c>
      <x:c r="F20" s="14" t="n">
        <x:v>0</x:v>
      </x:c>
      <x:c r="G20" s="14" t="n">
        <x:v>0</x:v>
      </x:c>
      <x:c r="H20" s="10" t="str">
        <x:v>Mesure fictive de temps; économie comptable distincte</x:v>
      </x:c>
      <x:c r="I20" s="10" t="str">
        <x:v>SRC-079</x:v>
      </x:c>
      <x:c r="J20" s="10" t="str">
        <x:v>SYNTHETIQUE</x:v>
      </x:c>
    </x:row>
    <x:row r="21" ht="28" customHeight="1">
      <x:c r="A21" s="11" t="str">
        <x:v>VAL-016</x:v>
      </x:c>
      <x:c r="B21" s="11" t="str">
        <x:v>AI-016</x:v>
      </x:c>
      <x:c r="C21" s="11" t="str">
        <x:v>2026-08</x:v>
      </x:c>
      <x:c r="D21" s="15" t="n">
        <x:v>24</x:v>
      </x:c>
      <x:c r="E21" s="15" t="n">
        <x:v>0</x:v>
      </x:c>
      <x:c r="F21" s="15" t="n">
        <x:v>0</x:v>
      </x:c>
      <x:c r="G21" s="15" t="n">
        <x:v>0</x:v>
      </x:c>
      <x:c r="H21" s="11" t="str">
        <x:v>Mesure fictive de temps; économie comptable distincte</x:v>
      </x:c>
      <x:c r="I21" s="11" t="str">
        <x:v>SRC-079</x:v>
      </x:c>
      <x:c r="J21" s="11" t="str">
        <x:v>SYNTHETIQUE</x:v>
      </x:c>
    </x:row>
  </x:sheetData>
  <x:pageMargins left="0.7" right="0.7" top="0.75" bottom="0.75" header="0.3" footer="0.3"/>
  <x:tableParts count="1">
    <x:tablePart xmlns:r="http://schemas.openxmlformats.org/officeDocument/2006/relationships" r:id="R96af373a4b0548d1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7" hidden="0" customWidth="1"/>
    <x:col min="4" max="4" width="63" hidden="0" customWidth="1"/>
    <x:col min="5" max="5" width="20" hidden="0" customWidth="1"/>
    <x:col min="6" max="6" width="30" hidden="0" customWidth="1"/>
    <x:col min="7" max="7" width="18" hidden="0" customWidth="1"/>
    <x:col min="8" max="8" width="2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Mesures</x:v>
      </x:c>
      <x:c r="B2" s="2"/>
      <x:c r="C2" s="2"/>
      <x:c r="D2" s="2"/>
      <x:c r="E2" s="2"/>
      <x:c r="F2" s="2"/>
      <x:c r="G2" s="2"/>
      <x:c r="H2" s="2"/>
    </x:row>
    <x:row r="3">
      <x:c r="A3" s="4" t="str">
        <x:v>DONNÉES SYNTHÉTIQUES — Assureur Démo France — août 2026 / état au 20 septembre 2026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42" customHeight="1">
      <x:c r="A5" s="8" t="str">
        <x:v>metric_id</x:v>
      </x:c>
      <x:c r="B5" s="8" t="str">
        <x:v>activity_id</x:v>
      </x:c>
      <x:c r="C5" s="8" t="str">
        <x:v>Mois</x:v>
      </x:c>
      <x:c r="D5" s="8" t="str">
        <x:v>Mesure</x:v>
      </x:c>
      <x:c r="E5" s="8" t="str">
        <x:v>Valeur</x:v>
      </x:c>
      <x:c r="F5" s="8" t="str">
        <x:v>Unité</x:v>
      </x:c>
      <x:c r="G5" s="8" t="str">
        <x:v>source_id</x:v>
      </x:c>
      <x:c r="H5" s="8" t="str">
        <x:v>Nature</x:v>
      </x:c>
    </x:row>
    <x:row r="6" ht="28" customHeight="1">
      <x:c r="A6" s="10" t="str">
        <x:v>MET-001</x:v>
      </x:c>
      <x:c r="B6" s="10" t="str">
        <x:v>ACT-011</x:v>
      </x:c>
      <x:c r="C6" s="10" t="str">
        <x:v>2026-08</x:v>
      </x:c>
      <x:c r="D6" s="10" t="str">
        <x:v>Sinistres ouverts</x:v>
      </x:c>
      <x:c r="E6" s="10" t="n">
        <x:v>3600</x:v>
      </x:c>
      <x:c r="F6" s="10" t="str">
        <x:v>dossiers</x:v>
      </x:c>
      <x:c r="G6" s="10" t="str">
        <x:v>SRC-037</x:v>
      </x:c>
      <x:c r="H6" s="10" t="str">
        <x:v>SYNTHETIQUE</x:v>
      </x:c>
    </x:row>
    <x:row r="7" ht="28" customHeight="1">
      <x:c r="A7" s="11" t="str">
        <x:v>MET-002</x:v>
      </x:c>
      <x:c r="B7" s="11" t="str">
        <x:v>ACT-011</x:v>
      </x:c>
      <x:c r="C7" s="11" t="str">
        <x:v>2026-08</x:v>
      </x:c>
      <x:c r="D7" s="11" t="str">
        <x:v>Tâches assistées évaluées pour le gain de temps</x:v>
      </x:c>
      <x:c r="E7" s="11" t="n">
        <x:v>1800</x:v>
      </x:c>
      <x:c r="F7" s="11" t="str">
        <x:v>tâches</x:v>
      </x:c>
      <x:c r="G7" s="11" t="str">
        <x:v>SRC-079</x:v>
      </x:c>
      <x:c r="H7" s="11" t="str">
        <x:v>SYNTHETIQUE</x:v>
      </x:c>
    </x:row>
    <x:row r="8" ht="28" customHeight="1">
      <x:c r="A8" s="10" t="str">
        <x:v>MET-003</x:v>
      </x:c>
      <x:c r="B8" s="10" t="str">
        <x:v>ACT-011</x:v>
      </x:c>
      <x:c r="C8" s="10" t="str">
        <x:v>2026-08</x:v>
      </x:c>
      <x:c r="D8" s="10" t="str">
        <x:v>Temps actif avant</x:v>
      </x:c>
      <x:c r="E8" s="10" t="n">
        <x:v>18</x:v>
      </x:c>
      <x:c r="F8" s="10" t="str">
        <x:v>minutes par tâche</x:v>
      </x:c>
      <x:c r="G8" s="10" t="str">
        <x:v>SRC-113</x:v>
      </x:c>
      <x:c r="H8" s="10" t="str">
        <x:v>SYNTHETIQUE</x:v>
      </x:c>
    </x:row>
    <x:row r="9" ht="28" customHeight="1">
      <x:c r="A9" s="11" t="str">
        <x:v>MET-004</x:v>
      </x:c>
      <x:c r="B9" s="11" t="str">
        <x:v>ACT-011</x:v>
      </x:c>
      <x:c r="C9" s="11" t="str">
        <x:v>2026-08</x:v>
      </x:c>
      <x:c r="D9" s="11" t="str">
        <x:v>Temps actif avec assistant</x:v>
      </x:c>
      <x:c r="E9" s="11" t="n">
        <x:v>12</x:v>
      </x:c>
      <x:c r="F9" s="11" t="str">
        <x:v>minutes par tâche</x:v>
      </x:c>
      <x:c r="G9" s="11" t="str">
        <x:v>SRC-113</x:v>
      </x:c>
      <x:c r="H9" s="11" t="str">
        <x:v>SYNTHETIQUE</x:v>
      </x:c>
    </x:row>
    <x:row r="10" ht="28" customHeight="1">
      <x:c r="A10" s="10" t="str">
        <x:v>MET-005</x:v>
      </x:c>
      <x:c r="B10" s="10" t="str">
        <x:v>ACT-011</x:v>
      </x:c>
      <x:c r="C10" s="10" t="str">
        <x:v>2026-08</x:v>
      </x:c>
      <x:c r="D10" s="10" t="str">
        <x:v>Évaluations qualité</x:v>
      </x:c>
      <x:c r="E10" s="10" t="n">
        <x:v>200</x:v>
      </x:c>
      <x:c r="F10" s="10" t="str">
        <x:v>réponses</x:v>
      </x:c>
      <x:c r="G10" s="10" t="str">
        <x:v>SRC-104</x:v>
      </x:c>
      <x:c r="H10" s="10" t="str">
        <x:v>SYNTHETIQUE</x:v>
      </x:c>
    </x:row>
    <x:row r="11" ht="28" customHeight="1">
      <x:c r="A11" s="11" t="str">
        <x:v>MET-006</x:v>
      </x:c>
      <x:c r="B11" s="11" t="str">
        <x:v>ACT-011</x:v>
      </x:c>
      <x:c r="C11" s="11" t="str">
        <x:v>2026-08</x:v>
      </x:c>
      <x:c r="D11" s="11" t="str">
        <x:v>Réponses sans citation valide</x:v>
      </x:c>
      <x:c r="E11" s="11" t="n">
        <x:v>18</x:v>
      </x:c>
      <x:c r="F11" s="11" t="str">
        <x:v>réponses</x:v>
      </x:c>
      <x:c r="G11" s="11" t="str">
        <x:v>SRC-104</x:v>
      </x:c>
      <x:c r="H11" s="11" t="str">
        <x:v>SYNTHETIQUE</x:v>
      </x:c>
    </x:row>
    <x:row r="12" ht="28" customHeight="1">
      <x:c r="A12" s="10" t="str">
        <x:v>MET-007</x:v>
      </x:c>
      <x:c r="B12" s="10" t="str">
        <x:v>ACT-011</x:v>
      </x:c>
      <x:c r="C12" s="10" t="str">
        <x:v>2026-08</x:v>
      </x:c>
      <x:c r="D12" s="10" t="str">
        <x:v>Dossiers sans date clôture attendue</x:v>
      </x:c>
      <x:c r="E12" s="10" t="n">
        <x:v>540</x:v>
      </x:c>
      <x:c r="F12" s="10" t="str">
        <x:v>dossiers</x:v>
      </x:c>
      <x:c r="G12" s="10" t="str">
        <x:v>SRC-095</x:v>
      </x:c>
      <x:c r="H12" s="10" t="str">
        <x:v>SYNTHETIQUE</x:v>
      </x:c>
    </x:row>
    <x:row r="13" ht="28" customHeight="1">
      <x:c r="A13" s="11" t="str">
        <x:v>MET-008</x:v>
      </x:c>
      <x:c r="B13" s="11" t="str">
        <x:v>ACT-012</x:v>
      </x:c>
      <x:c r="C13" s="11" t="str">
        <x:v>2026-08</x:v>
      </x:c>
      <x:c r="D13" s="11" t="str">
        <x:v>Paiements test sans validation</x:v>
      </x:c>
      <x:c r="E13" s="11" t="n">
        <x:v>12</x:v>
      </x:c>
      <x:c r="F13" s="11" t="str">
        <x:v>paiements de test</x:v>
      </x:c>
      <x:c r="G13" s="11" t="str">
        <x:v>SRC-103</x:v>
      </x:c>
      <x:c r="H13" s="11" t="str">
        <x:v>SYNTHETIQUE</x:v>
      </x:c>
    </x:row>
  </x:sheetData>
  <x:pageMargins left="0.7" right="0.7" top="0.75" bottom="0.75" header="0.3" footer="0.3"/>
  <x:tableParts count="1">
    <x:tablePart xmlns:r="http://schemas.openxmlformats.org/officeDocument/2006/relationships" r:id="Rf09c0e94cec243c3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0" hidden="0" customWidth="1"/>
    <x:col min="2" max="2" width="24" hidden="0" customWidth="1"/>
    <x:col min="3" max="3" width="35" hidden="0" customWidth="1"/>
    <x:col min="4" max="4" width="29" hidden="0" customWidth="1"/>
    <x:col min="5" max="5" width="20" hidden="0" customWidth="1"/>
    <x:col min="6" max="6" width="19" hidden="0" customWidth="1"/>
    <x:col min="7" max="7" width="52" hidden="0" customWidth="1"/>
    <x:col min="8" max="8" width="18" hidden="0" customWidth="1"/>
    <x:col min="9" max="9" width="2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Événements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" t="str">
        <x:v>DONNÉES SYNTHÉTIQUES — Assureur Démo France — août 2026 / état au 20 septembre 2026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42" customHeight="1">
      <x:c r="A5" s="8" t="str">
        <x:v>event_id</x:v>
      </x:c>
      <x:c r="B5" s="8" t="str">
        <x:v>case_id</x:v>
      </x:c>
      <x:c r="C5" s="8" t="str">
        <x:v>Étape</x:v>
      </x:c>
      <x:c r="D5" s="8" t="str">
        <x:v>Horodatage UTC</x:v>
      </x:c>
      <x:c r="E5" s="8" t="str">
        <x:v>activity_id</x:v>
      </x:c>
      <x:c r="F5" s="8" t="str">
        <x:v>Exécutant</x:v>
      </x:c>
      <x:c r="G5" s="8" t="str">
        <x:v>Résultat</x:v>
      </x:c>
      <x:c r="H5" s="8" t="str">
        <x:v>source_id</x:v>
      </x:c>
      <x:c r="I5" s="8" t="str">
        <x:v>Nature</x:v>
      </x:c>
    </x:row>
    <x:row r="6" ht="28" customHeight="1">
      <x:c r="A6" s="10" t="str">
        <x:v>EVT-001</x:v>
      </x:c>
      <x:c r="B6" s="10" t="str">
        <x:v>DOS-FICT-001</x:v>
      </x:c>
      <x:c r="C6" s="10" t="str">
        <x:v>Déclaration reçue</x:v>
      </x:c>
      <x:c r="D6" s="22" t="n">
        <x:v>46236.333333333336</x:v>
      </x:c>
      <x:c r="E6" s="10" t="str">
        <x:v>ACT-011</x:v>
      </x:c>
      <x:c r="F6" s="10" t="str">
        <x:v>Humain</x:v>
      </x:c>
      <x:c r="G6" s="10" t="str">
        <x:v>Terminé</x:v>
      </x:c>
      <x:c r="H6" s="10" t="str">
        <x:v>SRC-103</x:v>
      </x:c>
      <x:c r="I6" s="10" t="str">
        <x:v>SYNTHETIQUE</x:v>
      </x:c>
    </x:row>
    <x:row r="7" ht="28" customHeight="1">
      <x:c r="A7" s="11" t="str">
        <x:v>EVT-002</x:v>
      </x:c>
      <x:c r="B7" s="11" t="str">
        <x:v>DOS-FICT-001</x:v>
      </x:c>
      <x:c r="C7" s="11" t="str">
        <x:v>Pièces contrôlées</x:v>
      </x:c>
      <x:c r="D7" s="23" t="n">
        <x:v>46236.416666666664</x:v>
      </x:c>
      <x:c r="E7" s="11" t="str">
        <x:v>ACT-011</x:v>
      </x:c>
      <x:c r="F7" s="11" t="str">
        <x:v>Humain</x:v>
      </x:c>
      <x:c r="G7" s="11" t="str">
        <x:v>Terminé</x:v>
      </x:c>
      <x:c r="H7" s="11" t="str">
        <x:v>SRC-103</x:v>
      </x:c>
      <x:c r="I7" s="11" t="str">
        <x:v>SYNTHETIQUE</x:v>
      </x:c>
    </x:row>
    <x:row r="8" ht="28" customHeight="1">
      <x:c r="A8" s="10" t="str">
        <x:v>EVT-003</x:v>
      </x:c>
      <x:c r="B8" s="10" t="str">
        <x:v>DOS-FICT-001</x:v>
      </x:c>
      <x:c r="C8" s="10" t="str">
        <x:v>Synthèse préparée</x:v>
      </x:c>
      <x:c r="D8" s="22" t="n">
        <x:v>46236.4375</x:v>
      </x:c>
      <x:c r="E8" s="10" t="str">
        <x:v>ACT-011</x:v>
      </x:c>
      <x:c r="F8" s="10" t="str">
        <x:v>AI-001</x:v>
      </x:c>
      <x:c r="G8" s="10" t="str">
        <x:v>Terminé</x:v>
      </x:c>
      <x:c r="H8" s="10" t="str">
        <x:v>SRC-103</x:v>
      </x:c>
      <x:c r="I8" s="10" t="str">
        <x:v>SYNTHETIQUE</x:v>
      </x:c>
    </x:row>
    <x:row r="9" ht="28" customHeight="1">
      <x:c r="A9" s="11" t="str">
        <x:v>EVT-004</x:v>
      </x:c>
      <x:c r="B9" s="11" t="str">
        <x:v>DOS-FICT-001</x:v>
      </x:c>
      <x:c r="C9" s="11" t="str">
        <x:v>Paiement préparé</x:v>
      </x:c>
      <x:c r="D9" s="23" t="n">
        <x:v>46236.479166666664</x:v>
      </x:c>
      <x:c r="E9" s="11" t="str">
        <x:v>ACT-012</x:v>
      </x:c>
      <x:c r="F9" s="11" t="str">
        <x:v>AI-002</x:v>
      </x:c>
      <x:c r="G9" s="11" t="str">
        <x:v>Paiement exécuté sans validation</x:v>
      </x:c>
      <x:c r="H9" s="11" t="str">
        <x:v>SRC-103</x:v>
      </x:c>
      <x:c r="I9" s="11" t="str">
        <x:v>SYNTHETIQUE</x:v>
      </x:c>
    </x:row>
    <x:row r="10" ht="28" customHeight="1">
      <x:c r="A10" s="10" t="str">
        <x:v>EVT-005</x:v>
      </x:c>
      <x:c r="B10" s="10" t="str">
        <x:v>DOS-FICT-002</x:v>
      </x:c>
      <x:c r="C10" s="10" t="str">
        <x:v>Déclaration reçue</x:v>
      </x:c>
      <x:c r="D10" s="22" t="n">
        <x:v>46237.333333333336</x:v>
      </x:c>
      <x:c r="E10" s="10" t="str">
        <x:v>ACT-011</x:v>
      </x:c>
      <x:c r="F10" s="10" t="str">
        <x:v>Humain</x:v>
      </x:c>
      <x:c r="G10" s="10" t="str">
        <x:v>Terminé</x:v>
      </x:c>
      <x:c r="H10" s="10" t="str">
        <x:v>SRC-103</x:v>
      </x:c>
      <x:c r="I10" s="10" t="str">
        <x:v>SYNTHETIQUE</x:v>
      </x:c>
    </x:row>
    <x:row r="11" ht="28" customHeight="1">
      <x:c r="A11" s="11" t="str">
        <x:v>EVT-006</x:v>
      </x:c>
      <x:c r="B11" s="11" t="str">
        <x:v>DOS-FICT-002</x:v>
      </x:c>
      <x:c r="C11" s="11" t="str">
        <x:v>Pièces contrôlées</x:v>
      </x:c>
      <x:c r="D11" s="23" t="n">
        <x:v>46237.458333333336</x:v>
      </x:c>
      <x:c r="E11" s="11" t="str">
        <x:v>ACT-011</x:v>
      </x:c>
      <x:c r="F11" s="11" t="str">
        <x:v>Humain</x:v>
      </x:c>
      <x:c r="G11" s="11" t="str">
        <x:v>Terminé</x:v>
      </x:c>
      <x:c r="H11" s="11" t="str">
        <x:v>SRC-103</x:v>
      </x:c>
      <x:c r="I11" s="11" t="str">
        <x:v>SYNTHETIQUE</x:v>
      </x:c>
    </x:row>
    <x:row r="12" ht="28" customHeight="1">
      <x:c r="A12" s="10" t="str">
        <x:v>EVT-007</x:v>
      </x:c>
      <x:c r="B12" s="10" t="str">
        <x:v>DOS-FICT-002</x:v>
      </x:c>
      <x:c r="C12" s="10" t="str">
        <x:v>Synthèse préparée</x:v>
      </x:c>
      <x:c r="D12" s="22" t="n">
        <x:v>46237.479166666664</x:v>
      </x:c>
      <x:c r="E12" s="10" t="str">
        <x:v>ACT-011</x:v>
      </x:c>
      <x:c r="F12" s="10" t="str">
        <x:v>AI-001</x:v>
      </x:c>
      <x:c r="G12" s="10" t="str">
        <x:v>Terminé</x:v>
      </x:c>
      <x:c r="H12" s="10" t="str">
        <x:v>SRC-103</x:v>
      </x:c>
      <x:c r="I12" s="10" t="str">
        <x:v>SYNTHETIQUE</x:v>
      </x:c>
    </x:row>
    <x:row r="13" ht="28" customHeight="1">
      <x:c r="A13" s="11" t="str">
        <x:v>EVT-008</x:v>
      </x:c>
      <x:c r="B13" s="11" t="str">
        <x:v>DOS-FICT-002</x:v>
      </x:c>
      <x:c r="C13" s="11" t="str">
        <x:v>Paiement préparé</x:v>
      </x:c>
      <x:c r="D13" s="23" t="n">
        <x:v>46237.520833333336</x:v>
      </x:c>
      <x:c r="E13" s="11" t="str">
        <x:v>ACT-012</x:v>
      </x:c>
      <x:c r="F13" s="11" t="str">
        <x:v>AI-002</x:v>
      </x:c>
      <x:c r="G13" s="11" t="str">
        <x:v>Paiement exécuté sans validation</x:v>
      </x:c>
      <x:c r="H13" s="11" t="str">
        <x:v>SRC-103</x:v>
      </x:c>
      <x:c r="I13" s="11" t="str">
        <x:v>SYNTHETIQUE</x:v>
      </x:c>
    </x:row>
    <x:row r="14" ht="28" customHeight="1">
      <x:c r="A14" s="10" t="str">
        <x:v>EVT-009</x:v>
      </x:c>
      <x:c r="B14" s="10" t="str">
        <x:v>DOS-FICT-003</x:v>
      </x:c>
      <x:c r="C14" s="10" t="str">
        <x:v>Déclaration reçue</x:v>
      </x:c>
      <x:c r="D14" s="22" t="n">
        <x:v>46238.333333333336</x:v>
      </x:c>
      <x:c r="E14" s="10" t="str">
        <x:v>ACT-011</x:v>
      </x:c>
      <x:c r="F14" s="10" t="str">
        <x:v>Humain</x:v>
      </x:c>
      <x:c r="G14" s="10" t="str">
        <x:v>Terminé</x:v>
      </x:c>
      <x:c r="H14" s="10" t="str">
        <x:v>SRC-103</x:v>
      </x:c>
      <x:c r="I14" s="10" t="str">
        <x:v>SYNTHETIQUE</x:v>
      </x:c>
    </x:row>
    <x:row r="15" ht="28" customHeight="1">
      <x:c r="A15" s="11" t="str">
        <x:v>EVT-010</x:v>
      </x:c>
      <x:c r="B15" s="11" t="str">
        <x:v>DOS-FICT-003</x:v>
      </x:c>
      <x:c r="C15" s="11" t="str">
        <x:v>Pièces contrôlées</x:v>
      </x:c>
      <x:c r="D15" s="23" t="n">
        <x:v>46238.5</x:v>
      </x:c>
      <x:c r="E15" s="11" t="str">
        <x:v>ACT-011</x:v>
      </x:c>
      <x:c r="F15" s="11" t="str">
        <x:v>Humain</x:v>
      </x:c>
      <x:c r="G15" s="11" t="str">
        <x:v>Terminé</x:v>
      </x:c>
      <x:c r="H15" s="11" t="str">
        <x:v>SRC-103</x:v>
      </x:c>
      <x:c r="I15" s="11" t="str">
        <x:v>SYNTHETIQUE</x:v>
      </x:c>
    </x:row>
    <x:row r="16" ht="28" customHeight="1">
      <x:c r="A16" s="10" t="str">
        <x:v>EVT-011</x:v>
      </x:c>
      <x:c r="B16" s="10" t="str">
        <x:v>DOS-FICT-003</x:v>
      </x:c>
      <x:c r="C16" s="10" t="str">
        <x:v>Synthèse préparée</x:v>
      </x:c>
      <x:c r="D16" s="22" t="n">
        <x:v>46238.520833333336</x:v>
      </x:c>
      <x:c r="E16" s="10" t="str">
        <x:v>ACT-011</x:v>
      </x:c>
      <x:c r="F16" s="10" t="str">
        <x:v>AI-001</x:v>
      </x:c>
      <x:c r="G16" s="10" t="str">
        <x:v>Terminé</x:v>
      </x:c>
      <x:c r="H16" s="10" t="str">
        <x:v>SRC-103</x:v>
      </x:c>
      <x:c r="I16" s="10" t="str">
        <x:v>SYNTHETIQUE</x:v>
      </x:c>
    </x:row>
    <x:row r="17" ht="28" customHeight="1">
      <x:c r="A17" s="11" t="str">
        <x:v>EVT-012</x:v>
      </x:c>
      <x:c r="B17" s="11" t="str">
        <x:v>DOS-FICT-003</x:v>
      </x:c>
      <x:c r="C17" s="11" t="str">
        <x:v>Paiement préparé</x:v>
      </x:c>
      <x:c r="D17" s="23" t="n">
        <x:v>46238.5625</x:v>
      </x:c>
      <x:c r="E17" s="11" t="str">
        <x:v>ACT-012</x:v>
      </x:c>
      <x:c r="F17" s="11" t="str">
        <x:v>AI-002</x:v>
      </x:c>
      <x:c r="G17" s="11" t="str">
        <x:v>Paiement exécuté sans validation</x:v>
      </x:c>
      <x:c r="H17" s="11" t="str">
        <x:v>SRC-103</x:v>
      </x:c>
      <x:c r="I17" s="11" t="str">
        <x:v>SYNTHETIQUE</x:v>
      </x:c>
    </x:row>
    <x:row r="18" ht="28" customHeight="1">
      <x:c r="A18" s="10" t="str">
        <x:v>EVT-013</x:v>
      </x:c>
      <x:c r="B18" s="10" t="str">
        <x:v>DOS-FICT-004</x:v>
      </x:c>
      <x:c r="C18" s="10" t="str">
        <x:v>Déclaration reçue</x:v>
      </x:c>
      <x:c r="D18" s="22" t="n">
        <x:v>46239.333333333336</x:v>
      </x:c>
      <x:c r="E18" s="10" t="str">
        <x:v>ACT-011</x:v>
      </x:c>
      <x:c r="F18" s="10" t="str">
        <x:v>Humain</x:v>
      </x:c>
      <x:c r="G18" s="10" t="str">
        <x:v>Terminé</x:v>
      </x:c>
      <x:c r="H18" s="10" t="str">
        <x:v>SRC-103</x:v>
      </x:c>
      <x:c r="I18" s="10" t="str">
        <x:v>SYNTHETIQUE</x:v>
      </x:c>
    </x:row>
    <x:row r="19" ht="28" customHeight="1">
      <x:c r="A19" s="11" t="str">
        <x:v>EVT-014</x:v>
      </x:c>
      <x:c r="B19" s="11" t="str">
        <x:v>DOS-FICT-004</x:v>
      </x:c>
      <x:c r="C19" s="11" t="str">
        <x:v>Pièces contrôlées</x:v>
      </x:c>
      <x:c r="D19" s="23" t="n">
        <x:v>46239.541666666664</x:v>
      </x:c>
      <x:c r="E19" s="11" t="str">
        <x:v>ACT-011</x:v>
      </x:c>
      <x:c r="F19" s="11" t="str">
        <x:v>Humain</x:v>
      </x:c>
      <x:c r="G19" s="11" t="str">
        <x:v>Terminé</x:v>
      </x:c>
      <x:c r="H19" s="11" t="str">
        <x:v>SRC-103</x:v>
      </x:c>
      <x:c r="I19" s="11" t="str">
        <x:v>SYNTHETIQUE</x:v>
      </x:c>
    </x:row>
    <x:row r="20" ht="28" customHeight="1">
      <x:c r="A20" s="10" t="str">
        <x:v>EVT-015</x:v>
      </x:c>
      <x:c r="B20" s="10" t="str">
        <x:v>DOS-FICT-004</x:v>
      </x:c>
      <x:c r="C20" s="10" t="str">
        <x:v>Synthèse préparée</x:v>
      </x:c>
      <x:c r="D20" s="22" t="n">
        <x:v>46239.5625</x:v>
      </x:c>
      <x:c r="E20" s="10" t="str">
        <x:v>ACT-011</x:v>
      </x:c>
      <x:c r="F20" s="10" t="str">
        <x:v>AI-001</x:v>
      </x:c>
      <x:c r="G20" s="10" t="str">
        <x:v>Terminé</x:v>
      </x:c>
      <x:c r="H20" s="10" t="str">
        <x:v>SRC-103</x:v>
      </x:c>
      <x:c r="I20" s="10" t="str">
        <x:v>SYNTHETIQUE</x:v>
      </x:c>
    </x:row>
    <x:row r="21" ht="28" customHeight="1">
      <x:c r="A21" s="11" t="str">
        <x:v>EVT-016</x:v>
      </x:c>
      <x:c r="B21" s="11" t="str">
        <x:v>DOS-FICT-004</x:v>
      </x:c>
      <x:c r="C21" s="11" t="str">
        <x:v>Paiement préparé</x:v>
      </x:c>
      <x:c r="D21" s="23" t="n">
        <x:v>46239.604166666664</x:v>
      </x:c>
      <x:c r="E21" s="11" t="str">
        <x:v>ACT-012</x:v>
      </x:c>
      <x:c r="F21" s="11" t="str">
        <x:v>AI-002</x:v>
      </x:c>
      <x:c r="G21" s="11" t="str">
        <x:v>Paiement exécuté sans validation</x:v>
      </x:c>
      <x:c r="H21" s="11" t="str">
        <x:v>SRC-103</x:v>
      </x:c>
      <x:c r="I21" s="11" t="str">
        <x:v>SYNTHETIQUE</x:v>
      </x:c>
    </x:row>
    <x:row r="22" ht="28" customHeight="1">
      <x:c r="A22" s="10" t="str">
        <x:v>EVT-017</x:v>
      </x:c>
      <x:c r="B22" s="10" t="str">
        <x:v>DOS-FICT-005</x:v>
      </x:c>
      <x:c r="C22" s="10" t="str">
        <x:v>Déclaration reçue</x:v>
      </x:c>
      <x:c r="D22" s="22" t="n">
        <x:v>46240.333333333336</x:v>
      </x:c>
      <x:c r="E22" s="10" t="str">
        <x:v>ACT-011</x:v>
      </x:c>
      <x:c r="F22" s="10" t="str">
        <x:v>Humain</x:v>
      </x:c>
      <x:c r="G22" s="10" t="str">
        <x:v>Terminé</x:v>
      </x:c>
      <x:c r="H22" s="10" t="str">
        <x:v>SRC-103</x:v>
      </x:c>
      <x:c r="I22" s="10" t="str">
        <x:v>SYNTHETIQUE</x:v>
      </x:c>
    </x:row>
    <x:row r="23" ht="28" customHeight="1">
      <x:c r="A23" s="11" t="str">
        <x:v>EVT-018</x:v>
      </x:c>
      <x:c r="B23" s="11" t="str">
        <x:v>DOS-FICT-005</x:v>
      </x:c>
      <x:c r="C23" s="11" t="str">
        <x:v>Pièces contrôlées</x:v>
      </x:c>
      <x:c r="D23" s="23" t="n">
        <x:v>46240.375</x:v>
      </x:c>
      <x:c r="E23" s="11" t="str">
        <x:v>ACT-011</x:v>
      </x:c>
      <x:c r="F23" s="11" t="str">
        <x:v>Humain</x:v>
      </x:c>
      <x:c r="G23" s="11" t="str">
        <x:v>Terminé</x:v>
      </x:c>
      <x:c r="H23" s="11" t="str">
        <x:v>SRC-103</x:v>
      </x:c>
      <x:c r="I23" s="11" t="str">
        <x:v>SYNTHETIQUE</x:v>
      </x:c>
    </x:row>
    <x:row r="24" ht="28" customHeight="1">
      <x:c r="A24" s="10" t="str">
        <x:v>EVT-019</x:v>
      </x:c>
      <x:c r="B24" s="10" t="str">
        <x:v>DOS-FICT-005</x:v>
      </x:c>
      <x:c r="C24" s="10" t="str">
        <x:v>Synthèse préparée</x:v>
      </x:c>
      <x:c r="D24" s="22" t="n">
        <x:v>46240.395833333336</x:v>
      </x:c>
      <x:c r="E24" s="10" t="str">
        <x:v>ACT-011</x:v>
      </x:c>
      <x:c r="F24" s="10" t="str">
        <x:v>AI-001</x:v>
      </x:c>
      <x:c r="G24" s="10" t="str">
        <x:v>Terminé</x:v>
      </x:c>
      <x:c r="H24" s="10" t="str">
        <x:v>SRC-103</x:v>
      </x:c>
      <x:c r="I24" s="10" t="str">
        <x:v>SYNTHETIQUE</x:v>
      </x:c>
    </x:row>
    <x:row r="25" ht="28" customHeight="1">
      <x:c r="A25" s="11" t="str">
        <x:v>EVT-020</x:v>
      </x:c>
      <x:c r="B25" s="11" t="str">
        <x:v>DOS-FICT-005</x:v>
      </x:c>
      <x:c r="C25" s="11" t="str">
        <x:v>Paiement préparé</x:v>
      </x:c>
      <x:c r="D25" s="23" t="n">
        <x:v>46240.4375</x:v>
      </x:c>
      <x:c r="E25" s="11" t="str">
        <x:v>ACT-012</x:v>
      </x:c>
      <x:c r="F25" s="11" t="str">
        <x:v>AI-002</x:v>
      </x:c>
      <x:c r="G25" s="11" t="str">
        <x:v>Paiement exécuté sans validation</x:v>
      </x:c>
      <x:c r="H25" s="11" t="str">
        <x:v>SRC-103</x:v>
      </x:c>
      <x:c r="I25" s="11" t="str">
        <x:v>SYNTHETIQUE</x:v>
      </x:c>
    </x:row>
    <x:row r="26" ht="28" customHeight="1">
      <x:c r="A26" s="10" t="str">
        <x:v>EVT-021</x:v>
      </x:c>
      <x:c r="B26" s="10" t="str">
        <x:v>DOS-FICT-006</x:v>
      </x:c>
      <x:c r="C26" s="10" t="str">
        <x:v>Déclaration reçue</x:v>
      </x:c>
      <x:c r="D26" s="22" t="n">
        <x:v>46241.333333333336</x:v>
      </x:c>
      <x:c r="E26" s="10" t="str">
        <x:v>ACT-011</x:v>
      </x:c>
      <x:c r="F26" s="10" t="str">
        <x:v>Humain</x:v>
      </x:c>
      <x:c r="G26" s="10" t="str">
        <x:v>Terminé</x:v>
      </x:c>
      <x:c r="H26" s="10" t="str">
        <x:v>SRC-103</x:v>
      </x:c>
      <x:c r="I26" s="10" t="str">
        <x:v>SYNTHETIQUE</x:v>
      </x:c>
    </x:row>
    <x:row r="27" ht="28" customHeight="1">
      <x:c r="A27" s="11" t="str">
        <x:v>EVT-022</x:v>
      </x:c>
      <x:c r="B27" s="11" t="str">
        <x:v>DOS-FICT-006</x:v>
      </x:c>
      <x:c r="C27" s="11" t="str">
        <x:v>Pièces contrôlées</x:v>
      </x:c>
      <x:c r="D27" s="23" t="n">
        <x:v>46241.416666666664</x:v>
      </x:c>
      <x:c r="E27" s="11" t="str">
        <x:v>ACT-011</x:v>
      </x:c>
      <x:c r="F27" s="11" t="str">
        <x:v>Humain</x:v>
      </x:c>
      <x:c r="G27" s="11" t="str">
        <x:v>Terminé</x:v>
      </x:c>
      <x:c r="H27" s="11" t="str">
        <x:v>SRC-103</x:v>
      </x:c>
      <x:c r="I27" s="11" t="str">
        <x:v>SYNTHETIQUE</x:v>
      </x:c>
    </x:row>
    <x:row r="28" ht="28" customHeight="1">
      <x:c r="A28" s="10" t="str">
        <x:v>EVT-023</x:v>
      </x:c>
      <x:c r="B28" s="10" t="str">
        <x:v>DOS-FICT-006</x:v>
      </x:c>
      <x:c r="C28" s="10" t="str">
        <x:v>Synthèse préparée</x:v>
      </x:c>
      <x:c r="D28" s="22" t="n">
        <x:v>46241.4375</x:v>
      </x:c>
      <x:c r="E28" s="10" t="str">
        <x:v>ACT-011</x:v>
      </x:c>
      <x:c r="F28" s="10" t="str">
        <x:v>AI-001</x:v>
      </x:c>
      <x:c r="G28" s="10" t="str">
        <x:v>Terminé</x:v>
      </x:c>
      <x:c r="H28" s="10" t="str">
        <x:v>SRC-103</x:v>
      </x:c>
      <x:c r="I28" s="10" t="str">
        <x:v>SYNTHETIQUE</x:v>
      </x:c>
    </x:row>
    <x:row r="29" ht="28" customHeight="1">
      <x:c r="A29" s="11" t="str">
        <x:v>EVT-024</x:v>
      </x:c>
      <x:c r="B29" s="11" t="str">
        <x:v>DOS-FICT-006</x:v>
      </x:c>
      <x:c r="C29" s="11" t="str">
        <x:v>Paiement préparé</x:v>
      </x:c>
      <x:c r="D29" s="23" t="n">
        <x:v>46241.479166666664</x:v>
      </x:c>
      <x:c r="E29" s="11" t="str">
        <x:v>ACT-012</x:v>
      </x:c>
      <x:c r="F29" s="11" t="str">
        <x:v>AI-002</x:v>
      </x:c>
      <x:c r="G29" s="11" t="str">
        <x:v>Paiement exécuté sans validation</x:v>
      </x:c>
      <x:c r="H29" s="11" t="str">
        <x:v>SRC-103</x:v>
      </x:c>
      <x:c r="I29" s="11" t="str">
        <x:v>SYNTHETIQUE</x:v>
      </x:c>
    </x:row>
    <x:row r="30" ht="28" customHeight="1">
      <x:c r="A30" s="10" t="str">
        <x:v>EVT-025</x:v>
      </x:c>
      <x:c r="B30" s="10" t="str">
        <x:v>DOS-FICT-007</x:v>
      </x:c>
      <x:c r="C30" s="10" t="str">
        <x:v>Déclaration reçue</x:v>
      </x:c>
      <x:c r="D30" s="22" t="n">
        <x:v>46242.333333333336</x:v>
      </x:c>
      <x:c r="E30" s="10" t="str">
        <x:v>ACT-011</x:v>
      </x:c>
      <x:c r="F30" s="10" t="str">
        <x:v>Humain</x:v>
      </x:c>
      <x:c r="G30" s="10" t="str">
        <x:v>Terminé</x:v>
      </x:c>
      <x:c r="H30" s="10" t="str">
        <x:v>SRC-103</x:v>
      </x:c>
      <x:c r="I30" s="10" t="str">
        <x:v>SYNTHETIQUE</x:v>
      </x:c>
    </x:row>
    <x:row r="31" ht="28" customHeight="1">
      <x:c r="A31" s="11" t="str">
        <x:v>EVT-026</x:v>
      </x:c>
      <x:c r="B31" s="11" t="str">
        <x:v>DOS-FICT-007</x:v>
      </x:c>
      <x:c r="C31" s="11" t="str">
        <x:v>Pièces contrôlées</x:v>
      </x:c>
      <x:c r="D31" s="23" t="n">
        <x:v>46242.458333333336</x:v>
      </x:c>
      <x:c r="E31" s="11" t="str">
        <x:v>ACT-011</x:v>
      </x:c>
      <x:c r="F31" s="11" t="str">
        <x:v>Humain</x:v>
      </x:c>
      <x:c r="G31" s="11" t="str">
        <x:v>Terminé</x:v>
      </x:c>
      <x:c r="H31" s="11" t="str">
        <x:v>SRC-103</x:v>
      </x:c>
      <x:c r="I31" s="11" t="str">
        <x:v>SYNTHETIQUE</x:v>
      </x:c>
    </x:row>
    <x:row r="32" ht="28" customHeight="1">
      <x:c r="A32" s="10" t="str">
        <x:v>EVT-027</x:v>
      </x:c>
      <x:c r="B32" s="10" t="str">
        <x:v>DOS-FICT-007</x:v>
      </x:c>
      <x:c r="C32" s="10" t="str">
        <x:v>Synthèse préparée</x:v>
      </x:c>
      <x:c r="D32" s="22" t="n">
        <x:v>46242.479166666664</x:v>
      </x:c>
      <x:c r="E32" s="10" t="str">
        <x:v>ACT-011</x:v>
      </x:c>
      <x:c r="F32" s="10" t="str">
        <x:v>AI-001</x:v>
      </x:c>
      <x:c r="G32" s="10" t="str">
        <x:v>Terminé</x:v>
      </x:c>
      <x:c r="H32" s="10" t="str">
        <x:v>SRC-103</x:v>
      </x:c>
      <x:c r="I32" s="10" t="str">
        <x:v>SYNTHETIQUE</x:v>
      </x:c>
    </x:row>
    <x:row r="33" ht="28" customHeight="1">
      <x:c r="A33" s="11" t="str">
        <x:v>EVT-028</x:v>
      </x:c>
      <x:c r="B33" s="11" t="str">
        <x:v>DOS-FICT-007</x:v>
      </x:c>
      <x:c r="C33" s="11" t="str">
        <x:v>Paiement préparé</x:v>
      </x:c>
      <x:c r="D33" s="23" t="n">
        <x:v>46242.520833333336</x:v>
      </x:c>
      <x:c r="E33" s="11" t="str">
        <x:v>ACT-012</x:v>
      </x:c>
      <x:c r="F33" s="11" t="str">
        <x:v>AI-002</x:v>
      </x:c>
      <x:c r="G33" s="11" t="str">
        <x:v>Paiement exécuté sans validation</x:v>
      </x:c>
      <x:c r="H33" s="11" t="str">
        <x:v>SRC-103</x:v>
      </x:c>
      <x:c r="I33" s="11" t="str">
        <x:v>SYNTHETIQUE</x:v>
      </x:c>
    </x:row>
    <x:row r="34" ht="28" customHeight="1">
      <x:c r="A34" s="10" t="str">
        <x:v>EVT-029</x:v>
      </x:c>
      <x:c r="B34" s="10" t="str">
        <x:v>DOS-FICT-008</x:v>
      </x:c>
      <x:c r="C34" s="10" t="str">
        <x:v>Déclaration reçue</x:v>
      </x:c>
      <x:c r="D34" s="22" t="n">
        <x:v>46243.333333333336</x:v>
      </x:c>
      <x:c r="E34" s="10" t="str">
        <x:v>ACT-011</x:v>
      </x:c>
      <x:c r="F34" s="10" t="str">
        <x:v>Humain</x:v>
      </x:c>
      <x:c r="G34" s="10" t="str">
        <x:v>Terminé</x:v>
      </x:c>
      <x:c r="H34" s="10" t="str">
        <x:v>SRC-103</x:v>
      </x:c>
      <x:c r="I34" s="10" t="str">
        <x:v>SYNTHETIQUE</x:v>
      </x:c>
    </x:row>
    <x:row r="35" ht="28" customHeight="1">
      <x:c r="A35" s="11" t="str">
        <x:v>EVT-030</x:v>
      </x:c>
      <x:c r="B35" s="11" t="str">
        <x:v>DOS-FICT-008</x:v>
      </x:c>
      <x:c r="C35" s="11" t="str">
        <x:v>Pièces contrôlées</x:v>
      </x:c>
      <x:c r="D35" s="23" t="n">
        <x:v>46243.5</x:v>
      </x:c>
      <x:c r="E35" s="11" t="str">
        <x:v>ACT-011</x:v>
      </x:c>
      <x:c r="F35" s="11" t="str">
        <x:v>Humain</x:v>
      </x:c>
      <x:c r="G35" s="11" t="str">
        <x:v>Terminé</x:v>
      </x:c>
      <x:c r="H35" s="11" t="str">
        <x:v>SRC-103</x:v>
      </x:c>
      <x:c r="I35" s="11" t="str">
        <x:v>SYNTHETIQUE</x:v>
      </x:c>
    </x:row>
    <x:row r="36" ht="28" customHeight="1">
      <x:c r="A36" s="10" t="str">
        <x:v>EVT-031</x:v>
      </x:c>
      <x:c r="B36" s="10" t="str">
        <x:v>DOS-FICT-008</x:v>
      </x:c>
      <x:c r="C36" s="10" t="str">
        <x:v>Synthèse préparée</x:v>
      </x:c>
      <x:c r="D36" s="22" t="n">
        <x:v>46243.520833333336</x:v>
      </x:c>
      <x:c r="E36" s="10" t="str">
        <x:v>ACT-011</x:v>
      </x:c>
      <x:c r="F36" s="10" t="str">
        <x:v>AI-001</x:v>
      </x:c>
      <x:c r="G36" s="10" t="str">
        <x:v>Terminé</x:v>
      </x:c>
      <x:c r="H36" s="10" t="str">
        <x:v>SRC-103</x:v>
      </x:c>
      <x:c r="I36" s="10" t="str">
        <x:v>SYNTHETIQUE</x:v>
      </x:c>
    </x:row>
    <x:row r="37" ht="28" customHeight="1">
      <x:c r="A37" s="11" t="str">
        <x:v>EVT-032</x:v>
      </x:c>
      <x:c r="B37" s="11" t="str">
        <x:v>DOS-FICT-008</x:v>
      </x:c>
      <x:c r="C37" s="11" t="str">
        <x:v>Paiement préparé</x:v>
      </x:c>
      <x:c r="D37" s="23" t="n">
        <x:v>46243.5625</x:v>
      </x:c>
      <x:c r="E37" s="11" t="str">
        <x:v>ACT-012</x:v>
      </x:c>
      <x:c r="F37" s="11" t="str">
        <x:v>AI-002</x:v>
      </x:c>
      <x:c r="G37" s="11" t="str">
        <x:v>Paiement exécuté sans validation</x:v>
      </x:c>
      <x:c r="H37" s="11" t="str">
        <x:v>SRC-103</x:v>
      </x:c>
      <x:c r="I37" s="11" t="str">
        <x:v>SYNTHETIQUE</x:v>
      </x:c>
    </x:row>
    <x:row r="38" ht="28" customHeight="1">
      <x:c r="A38" s="10" t="str">
        <x:v>EVT-033</x:v>
      </x:c>
      <x:c r="B38" s="10" t="str">
        <x:v>DOS-FICT-009</x:v>
      </x:c>
      <x:c r="C38" s="10" t="str">
        <x:v>Déclaration reçue</x:v>
      </x:c>
      <x:c r="D38" s="22" t="n">
        <x:v>46244.333333333336</x:v>
      </x:c>
      <x:c r="E38" s="10" t="str">
        <x:v>ACT-011</x:v>
      </x:c>
      <x:c r="F38" s="10" t="str">
        <x:v>Humain</x:v>
      </x:c>
      <x:c r="G38" s="10" t="str">
        <x:v>Terminé</x:v>
      </x:c>
      <x:c r="H38" s="10" t="str">
        <x:v>SRC-103</x:v>
      </x:c>
      <x:c r="I38" s="10" t="str">
        <x:v>SYNTHETIQUE</x:v>
      </x:c>
    </x:row>
    <x:row r="39" ht="28" customHeight="1">
      <x:c r="A39" s="11" t="str">
        <x:v>EVT-034</x:v>
      </x:c>
      <x:c r="B39" s="11" t="str">
        <x:v>DOS-FICT-009</x:v>
      </x:c>
      <x:c r="C39" s="11" t="str">
        <x:v>Pièces contrôlées</x:v>
      </x:c>
      <x:c r="D39" s="23" t="n">
        <x:v>46244.541666666664</x:v>
      </x:c>
      <x:c r="E39" s="11" t="str">
        <x:v>ACT-011</x:v>
      </x:c>
      <x:c r="F39" s="11" t="str">
        <x:v>Humain</x:v>
      </x:c>
      <x:c r="G39" s="11" t="str">
        <x:v>Terminé</x:v>
      </x:c>
      <x:c r="H39" s="11" t="str">
        <x:v>SRC-103</x:v>
      </x:c>
      <x:c r="I39" s="11" t="str">
        <x:v>SYNTHETIQUE</x:v>
      </x:c>
    </x:row>
    <x:row r="40" ht="28" customHeight="1">
      <x:c r="A40" s="10" t="str">
        <x:v>EVT-035</x:v>
      </x:c>
      <x:c r="B40" s="10" t="str">
        <x:v>DOS-FICT-009</x:v>
      </x:c>
      <x:c r="C40" s="10" t="str">
        <x:v>Synthèse préparée</x:v>
      </x:c>
      <x:c r="D40" s="22" t="n">
        <x:v>46244.5625</x:v>
      </x:c>
      <x:c r="E40" s="10" t="str">
        <x:v>ACT-011</x:v>
      </x:c>
      <x:c r="F40" s="10" t="str">
        <x:v>AI-001</x:v>
      </x:c>
      <x:c r="G40" s="10" t="str">
        <x:v>Terminé</x:v>
      </x:c>
      <x:c r="H40" s="10" t="str">
        <x:v>SRC-103</x:v>
      </x:c>
      <x:c r="I40" s="10" t="str">
        <x:v>SYNTHETIQUE</x:v>
      </x:c>
    </x:row>
    <x:row r="41" ht="28" customHeight="1">
      <x:c r="A41" s="11" t="str">
        <x:v>EVT-036</x:v>
      </x:c>
      <x:c r="B41" s="11" t="str">
        <x:v>DOS-FICT-009</x:v>
      </x:c>
      <x:c r="C41" s="11" t="str">
        <x:v>Paiement préparé</x:v>
      </x:c>
      <x:c r="D41" s="23" t="n">
        <x:v>46244.604166666664</x:v>
      </x:c>
      <x:c r="E41" s="11" t="str">
        <x:v>ACT-012</x:v>
      </x:c>
      <x:c r="F41" s="11" t="str">
        <x:v>AI-002</x:v>
      </x:c>
      <x:c r="G41" s="11" t="str">
        <x:v>Paiement exécuté sans validation</x:v>
      </x:c>
      <x:c r="H41" s="11" t="str">
        <x:v>SRC-103</x:v>
      </x:c>
      <x:c r="I41" s="11" t="str">
        <x:v>SYNTHETIQUE</x:v>
      </x:c>
    </x:row>
    <x:row r="42" ht="28" customHeight="1">
      <x:c r="A42" s="10" t="str">
        <x:v>EVT-037</x:v>
      </x:c>
      <x:c r="B42" s="10" t="str">
        <x:v>DOS-FICT-010</x:v>
      </x:c>
      <x:c r="C42" s="10" t="str">
        <x:v>Déclaration reçue</x:v>
      </x:c>
      <x:c r="D42" s="22" t="n">
        <x:v>46245.333333333336</x:v>
      </x:c>
      <x:c r="E42" s="10" t="str">
        <x:v>ACT-011</x:v>
      </x:c>
      <x:c r="F42" s="10" t="str">
        <x:v>Humain</x:v>
      </x:c>
      <x:c r="G42" s="10" t="str">
        <x:v>Terminé</x:v>
      </x:c>
      <x:c r="H42" s="10" t="str">
        <x:v>SRC-103</x:v>
      </x:c>
      <x:c r="I42" s="10" t="str">
        <x:v>SYNTHETIQUE</x:v>
      </x:c>
    </x:row>
    <x:row r="43" ht="28" customHeight="1">
      <x:c r="A43" s="11" t="str">
        <x:v>EVT-038</x:v>
      </x:c>
      <x:c r="B43" s="11" t="str">
        <x:v>DOS-FICT-010</x:v>
      </x:c>
      <x:c r="C43" s="11" t="str">
        <x:v>Pièces contrôlées</x:v>
      </x:c>
      <x:c r="D43" s="23" t="n">
        <x:v>46245.375</x:v>
      </x:c>
      <x:c r="E43" s="11" t="str">
        <x:v>ACT-011</x:v>
      </x:c>
      <x:c r="F43" s="11" t="str">
        <x:v>Humain</x:v>
      </x:c>
      <x:c r="G43" s="11" t="str">
        <x:v>Terminé</x:v>
      </x:c>
      <x:c r="H43" s="11" t="str">
        <x:v>SRC-103</x:v>
      </x:c>
      <x:c r="I43" s="11" t="str">
        <x:v>SYNTHETIQUE</x:v>
      </x:c>
    </x:row>
    <x:row r="44" ht="28" customHeight="1">
      <x:c r="A44" s="10" t="str">
        <x:v>EVT-039</x:v>
      </x:c>
      <x:c r="B44" s="10" t="str">
        <x:v>DOS-FICT-010</x:v>
      </x:c>
      <x:c r="C44" s="10" t="str">
        <x:v>Synthèse préparée</x:v>
      </x:c>
      <x:c r="D44" s="22" t="n">
        <x:v>46245.395833333336</x:v>
      </x:c>
      <x:c r="E44" s="10" t="str">
        <x:v>ACT-011</x:v>
      </x:c>
      <x:c r="F44" s="10" t="str">
        <x:v>AI-001</x:v>
      </x:c>
      <x:c r="G44" s="10" t="str">
        <x:v>Terminé</x:v>
      </x:c>
      <x:c r="H44" s="10" t="str">
        <x:v>SRC-103</x:v>
      </x:c>
      <x:c r="I44" s="10" t="str">
        <x:v>SYNTHETIQUE</x:v>
      </x:c>
    </x:row>
    <x:row r="45" ht="28" customHeight="1">
      <x:c r="A45" s="11" t="str">
        <x:v>EVT-040</x:v>
      </x:c>
      <x:c r="B45" s="11" t="str">
        <x:v>DOS-FICT-010</x:v>
      </x:c>
      <x:c r="C45" s="11" t="str">
        <x:v>Paiement préparé</x:v>
      </x:c>
      <x:c r="D45" s="23" t="n">
        <x:v>46245.4375</x:v>
      </x:c>
      <x:c r="E45" s="11" t="str">
        <x:v>ACT-012</x:v>
      </x:c>
      <x:c r="F45" s="11" t="str">
        <x:v>AI-002</x:v>
      </x:c>
      <x:c r="G45" s="11" t="str">
        <x:v>Paiement exécuté sans validation</x:v>
      </x:c>
      <x:c r="H45" s="11" t="str">
        <x:v>SRC-103</x:v>
      </x:c>
      <x:c r="I45" s="11" t="str">
        <x:v>SYNTHETIQUE</x:v>
      </x:c>
    </x:row>
    <x:row r="46" ht="28" customHeight="1">
      <x:c r="A46" s="10" t="str">
        <x:v>EVT-041</x:v>
      </x:c>
      <x:c r="B46" s="10" t="str">
        <x:v>DOS-FICT-011</x:v>
      </x:c>
      <x:c r="C46" s="10" t="str">
        <x:v>Déclaration reçue</x:v>
      </x:c>
      <x:c r="D46" s="22" t="n">
        <x:v>46246.333333333336</x:v>
      </x:c>
      <x:c r="E46" s="10" t="str">
        <x:v>ACT-011</x:v>
      </x:c>
      <x:c r="F46" s="10" t="str">
        <x:v>Humain</x:v>
      </x:c>
      <x:c r="G46" s="10" t="str">
        <x:v>Terminé</x:v>
      </x:c>
      <x:c r="H46" s="10" t="str">
        <x:v>SRC-103</x:v>
      </x:c>
      <x:c r="I46" s="10" t="str">
        <x:v>SYNTHETIQUE</x:v>
      </x:c>
    </x:row>
    <x:row r="47" ht="28" customHeight="1">
      <x:c r="A47" s="11" t="str">
        <x:v>EVT-042</x:v>
      </x:c>
      <x:c r="B47" s="11" t="str">
        <x:v>DOS-FICT-011</x:v>
      </x:c>
      <x:c r="C47" s="11" t="str">
        <x:v>Pièces contrôlées</x:v>
      </x:c>
      <x:c r="D47" s="23" t="n">
        <x:v>46246.416666666664</x:v>
      </x:c>
      <x:c r="E47" s="11" t="str">
        <x:v>ACT-011</x:v>
      </x:c>
      <x:c r="F47" s="11" t="str">
        <x:v>Humain</x:v>
      </x:c>
      <x:c r="G47" s="11" t="str">
        <x:v>Terminé</x:v>
      </x:c>
      <x:c r="H47" s="11" t="str">
        <x:v>SRC-103</x:v>
      </x:c>
      <x:c r="I47" s="11" t="str">
        <x:v>SYNTHETIQUE</x:v>
      </x:c>
    </x:row>
    <x:row r="48" ht="28" customHeight="1">
      <x:c r="A48" s="10" t="str">
        <x:v>EVT-043</x:v>
      </x:c>
      <x:c r="B48" s="10" t="str">
        <x:v>DOS-FICT-011</x:v>
      </x:c>
      <x:c r="C48" s="10" t="str">
        <x:v>Synthèse préparée</x:v>
      </x:c>
      <x:c r="D48" s="22" t="n">
        <x:v>46246.4375</x:v>
      </x:c>
      <x:c r="E48" s="10" t="str">
        <x:v>ACT-011</x:v>
      </x:c>
      <x:c r="F48" s="10" t="str">
        <x:v>AI-001</x:v>
      </x:c>
      <x:c r="G48" s="10" t="str">
        <x:v>Terminé</x:v>
      </x:c>
      <x:c r="H48" s="10" t="str">
        <x:v>SRC-103</x:v>
      </x:c>
      <x:c r="I48" s="10" t="str">
        <x:v>SYNTHETIQUE</x:v>
      </x:c>
    </x:row>
    <x:row r="49" ht="28" customHeight="1">
      <x:c r="A49" s="11" t="str">
        <x:v>EVT-044</x:v>
      </x:c>
      <x:c r="B49" s="11" t="str">
        <x:v>DOS-FICT-011</x:v>
      </x:c>
      <x:c r="C49" s="11" t="str">
        <x:v>Paiement préparé</x:v>
      </x:c>
      <x:c r="D49" s="23" t="n">
        <x:v>46246.479166666664</x:v>
      </x:c>
      <x:c r="E49" s="11" t="str">
        <x:v>ACT-012</x:v>
      </x:c>
      <x:c r="F49" s="11" t="str">
        <x:v>AI-002</x:v>
      </x:c>
      <x:c r="G49" s="11" t="str">
        <x:v>Paiement exécuté sans validation</x:v>
      </x:c>
      <x:c r="H49" s="11" t="str">
        <x:v>SRC-103</x:v>
      </x:c>
      <x:c r="I49" s="11" t="str">
        <x:v>SYNTHETIQUE</x:v>
      </x:c>
    </x:row>
    <x:row r="50" ht="28" customHeight="1">
      <x:c r="A50" s="10" t="str">
        <x:v>EVT-045</x:v>
      </x:c>
      <x:c r="B50" s="10" t="str">
        <x:v>DOS-FICT-012</x:v>
      </x:c>
      <x:c r="C50" s="10" t="str">
        <x:v>Déclaration reçue</x:v>
      </x:c>
      <x:c r="D50" s="22" t="n">
        <x:v>46247.333333333336</x:v>
      </x:c>
      <x:c r="E50" s="10" t="str">
        <x:v>ACT-011</x:v>
      </x:c>
      <x:c r="F50" s="10" t="str">
        <x:v>Humain</x:v>
      </x:c>
      <x:c r="G50" s="10" t="str">
        <x:v>Terminé</x:v>
      </x:c>
      <x:c r="H50" s="10" t="str">
        <x:v>SRC-103</x:v>
      </x:c>
      <x:c r="I50" s="10" t="str">
        <x:v>SYNTHETIQUE</x:v>
      </x:c>
    </x:row>
    <x:row r="51" ht="28" customHeight="1">
      <x:c r="A51" s="11" t="str">
        <x:v>EVT-046</x:v>
      </x:c>
      <x:c r="B51" s="11" t="str">
        <x:v>DOS-FICT-012</x:v>
      </x:c>
      <x:c r="C51" s="11" t="str">
        <x:v>Pièces contrôlées</x:v>
      </x:c>
      <x:c r="D51" s="23" t="n">
        <x:v>46247.458333333336</x:v>
      </x:c>
      <x:c r="E51" s="11" t="str">
        <x:v>ACT-011</x:v>
      </x:c>
      <x:c r="F51" s="11" t="str">
        <x:v>Humain</x:v>
      </x:c>
      <x:c r="G51" s="11" t="str">
        <x:v>Terminé</x:v>
      </x:c>
      <x:c r="H51" s="11" t="str">
        <x:v>SRC-103</x:v>
      </x:c>
      <x:c r="I51" s="11" t="str">
        <x:v>SYNTHETIQUE</x:v>
      </x:c>
    </x:row>
    <x:row r="52" ht="28" customHeight="1">
      <x:c r="A52" s="10" t="str">
        <x:v>EVT-047</x:v>
      </x:c>
      <x:c r="B52" s="10" t="str">
        <x:v>DOS-FICT-012</x:v>
      </x:c>
      <x:c r="C52" s="10" t="str">
        <x:v>Synthèse préparée</x:v>
      </x:c>
      <x:c r="D52" s="22" t="n">
        <x:v>46247.479166666664</x:v>
      </x:c>
      <x:c r="E52" s="10" t="str">
        <x:v>ACT-011</x:v>
      </x:c>
      <x:c r="F52" s="10" t="str">
        <x:v>AI-001</x:v>
      </x:c>
      <x:c r="G52" s="10" t="str">
        <x:v>Terminé</x:v>
      </x:c>
      <x:c r="H52" s="10" t="str">
        <x:v>SRC-103</x:v>
      </x:c>
      <x:c r="I52" s="10" t="str">
        <x:v>SYNTHETIQUE</x:v>
      </x:c>
    </x:row>
    <x:row r="53" ht="28" customHeight="1">
      <x:c r="A53" s="11" t="str">
        <x:v>EVT-048</x:v>
      </x:c>
      <x:c r="B53" s="11" t="str">
        <x:v>DOS-FICT-012</x:v>
      </x:c>
      <x:c r="C53" s="11" t="str">
        <x:v>Paiement préparé</x:v>
      </x:c>
      <x:c r="D53" s="23" t="n">
        <x:v>46247.520833333336</x:v>
      </x:c>
      <x:c r="E53" s="11" t="str">
        <x:v>ACT-012</x:v>
      </x:c>
      <x:c r="F53" s="11" t="str">
        <x:v>AI-002</x:v>
      </x:c>
      <x:c r="G53" s="11" t="str">
        <x:v>Paiement exécuté sans validation</x:v>
      </x:c>
      <x:c r="H53" s="11" t="str">
        <x:v>SRC-103</x:v>
      </x:c>
      <x:c r="I53" s="11" t="str">
        <x:v>SYNTHETIQUE</x:v>
      </x:c>
    </x:row>
    <x:row r="54" ht="28" customHeight="1">
      <x:c r="A54" s="10" t="str">
        <x:v>EVT-049</x:v>
      </x:c>
      <x:c r="B54" s="10" t="str">
        <x:v>DOS-FICT-013</x:v>
      </x:c>
      <x:c r="C54" s="10" t="str">
        <x:v>Déclaration reçue</x:v>
      </x:c>
      <x:c r="D54" s="22" t="n">
        <x:v>46248.333333333336</x:v>
      </x:c>
      <x:c r="E54" s="10" t="str">
        <x:v>ACT-011</x:v>
      </x:c>
      <x:c r="F54" s="10" t="str">
        <x:v>Humain</x:v>
      </x:c>
      <x:c r="G54" s="10" t="str">
        <x:v>Terminé</x:v>
      </x:c>
      <x:c r="H54" s="10" t="str">
        <x:v>SRC-103</x:v>
      </x:c>
      <x:c r="I54" s="10" t="str">
        <x:v>SYNTHETIQUE</x:v>
      </x:c>
    </x:row>
    <x:row r="55" ht="28" customHeight="1">
      <x:c r="A55" s="11" t="str">
        <x:v>EVT-050</x:v>
      </x:c>
      <x:c r="B55" s="11" t="str">
        <x:v>DOS-FICT-013</x:v>
      </x:c>
      <x:c r="C55" s="11" t="str">
        <x:v>Pièces contrôlées</x:v>
      </x:c>
      <x:c r="D55" s="23" t="n">
        <x:v>46248.5</x:v>
      </x:c>
      <x:c r="E55" s="11" t="str">
        <x:v>ACT-011</x:v>
      </x:c>
      <x:c r="F55" s="11" t="str">
        <x:v>Humain</x:v>
      </x:c>
      <x:c r="G55" s="11" t="str">
        <x:v>Terminé</x:v>
      </x:c>
      <x:c r="H55" s="11" t="str">
        <x:v>SRC-103</x:v>
      </x:c>
      <x:c r="I55" s="11" t="str">
        <x:v>SYNTHETIQUE</x:v>
      </x:c>
    </x:row>
    <x:row r="56" ht="28" customHeight="1">
      <x:c r="A56" s="10" t="str">
        <x:v>EVT-051</x:v>
      </x:c>
      <x:c r="B56" s="10" t="str">
        <x:v>DOS-FICT-013</x:v>
      </x:c>
      <x:c r="C56" s="10" t="str">
        <x:v>Synthèse préparée</x:v>
      </x:c>
      <x:c r="D56" s="22" t="n">
        <x:v>46248.520833333336</x:v>
      </x:c>
      <x:c r="E56" s="10" t="str">
        <x:v>ACT-011</x:v>
      </x:c>
      <x:c r="F56" s="10" t="str">
        <x:v>AI-001</x:v>
      </x:c>
      <x:c r="G56" s="10" t="str">
        <x:v>Terminé</x:v>
      </x:c>
      <x:c r="H56" s="10" t="str">
        <x:v>SRC-103</x:v>
      </x:c>
      <x:c r="I56" s="10" t="str">
        <x:v>SYNTHETIQUE</x:v>
      </x:c>
    </x:row>
    <x:row r="57" ht="28" customHeight="1">
      <x:c r="A57" s="11" t="str">
        <x:v>EVT-052</x:v>
      </x:c>
      <x:c r="B57" s="11" t="str">
        <x:v>DOS-FICT-013</x:v>
      </x:c>
      <x:c r="C57" s="11" t="str">
        <x:v>Décision validée</x:v>
      </x:c>
      <x:c r="D57" s="23" t="n">
        <x:v>46248.541666666664</x:v>
      </x:c>
      <x:c r="E57" s="11" t="str">
        <x:v>ACT-012</x:v>
      </x:c>
      <x:c r="F57" s="11" t="str">
        <x:v>Humain</x:v>
      </x:c>
      <x:c r="G57" s="11" t="str">
        <x:v>Terminé</x:v>
      </x:c>
      <x:c r="H57" s="11" t="str">
        <x:v>SRC-103</x:v>
      </x:c>
      <x:c r="I57" s="11" t="str">
        <x:v>SYNTHETIQUE</x:v>
      </x:c>
    </x:row>
    <x:row r="58" ht="28" customHeight="1">
      <x:c r="A58" s="10" t="str">
        <x:v>EVT-053</x:v>
      </x:c>
      <x:c r="B58" s="10" t="str">
        <x:v>DOS-FICT-013</x:v>
      </x:c>
      <x:c r="C58" s="10" t="str">
        <x:v>Paiement préparé</x:v>
      </x:c>
      <x:c r="D58" s="22" t="n">
        <x:v>46248.5625</x:v>
      </x:c>
      <x:c r="E58" s="10" t="str">
        <x:v>ACT-012</x:v>
      </x:c>
      <x:c r="F58" s="10" t="str">
        <x:v>Humain</x:v>
      </x:c>
      <x:c r="G58" s="10" t="str">
        <x:v>Demande de paiement préparée</x:v>
      </x:c>
      <x:c r="H58" s="10" t="str">
        <x:v>SRC-103</x:v>
      </x:c>
      <x:c r="I58" s="10" t="str">
        <x:v>SYNTHETIQUE</x:v>
      </x:c>
    </x:row>
    <x:row r="59" ht="28" customHeight="1">
      <x:c r="A59" s="11" t="str">
        <x:v>EVT-054</x:v>
      </x:c>
      <x:c r="B59" s="11" t="str">
        <x:v>DOS-FICT-014</x:v>
      </x:c>
      <x:c r="C59" s="11" t="str">
        <x:v>Déclaration reçue</x:v>
      </x:c>
      <x:c r="D59" s="23" t="n">
        <x:v>46249.333333333336</x:v>
      </x:c>
      <x:c r="E59" s="11" t="str">
        <x:v>ACT-011</x:v>
      </x:c>
      <x:c r="F59" s="11" t="str">
        <x:v>Humain</x:v>
      </x:c>
      <x:c r="G59" s="11" t="str">
        <x:v>Terminé</x:v>
      </x:c>
      <x:c r="H59" s="11" t="str">
        <x:v>SRC-103</x:v>
      </x:c>
      <x:c r="I59" s="11" t="str">
        <x:v>SYNTHETIQUE</x:v>
      </x:c>
    </x:row>
    <x:row r="60" ht="28" customHeight="1">
      <x:c r="A60" s="10" t="str">
        <x:v>EVT-055</x:v>
      </x:c>
      <x:c r="B60" s="10" t="str">
        <x:v>DOS-FICT-014</x:v>
      </x:c>
      <x:c r="C60" s="10" t="str">
        <x:v>Pièces contrôlées</x:v>
      </x:c>
      <x:c r="D60" s="22" t="n">
        <x:v>46249.541666666664</x:v>
      </x:c>
      <x:c r="E60" s="10" t="str">
        <x:v>ACT-011</x:v>
      </x:c>
      <x:c r="F60" s="10" t="str">
        <x:v>Humain</x:v>
      </x:c>
      <x:c r="G60" s="10" t="str">
        <x:v>Terminé</x:v>
      </x:c>
      <x:c r="H60" s="10" t="str">
        <x:v>SRC-103</x:v>
      </x:c>
      <x:c r="I60" s="10" t="str">
        <x:v>SYNTHETIQUE</x:v>
      </x:c>
    </x:row>
    <x:row r="61" ht="28" customHeight="1">
      <x:c r="A61" s="11" t="str">
        <x:v>EVT-056</x:v>
      </x:c>
      <x:c r="B61" s="11" t="str">
        <x:v>DOS-FICT-014</x:v>
      </x:c>
      <x:c r="C61" s="11" t="str">
        <x:v>Synthèse préparée</x:v>
      </x:c>
      <x:c r="D61" s="23" t="n">
        <x:v>46249.5625</x:v>
      </x:c>
      <x:c r="E61" s="11" t="str">
        <x:v>ACT-011</x:v>
      </x:c>
      <x:c r="F61" s="11" t="str">
        <x:v>AI-001</x:v>
      </x:c>
      <x:c r="G61" s="11" t="str">
        <x:v>Terminé</x:v>
      </x:c>
      <x:c r="H61" s="11" t="str">
        <x:v>SRC-103</x:v>
      </x:c>
      <x:c r="I61" s="11" t="str">
        <x:v>SYNTHETIQUE</x:v>
      </x:c>
    </x:row>
    <x:row r="62" ht="28" customHeight="1">
      <x:c r="A62" s="10" t="str">
        <x:v>EVT-057</x:v>
      </x:c>
      <x:c r="B62" s="10" t="str">
        <x:v>DOS-FICT-014</x:v>
      </x:c>
      <x:c r="C62" s="10" t="str">
        <x:v>Décision validée</x:v>
      </x:c>
      <x:c r="D62" s="22" t="n">
        <x:v>46249.583333333336</x:v>
      </x:c>
      <x:c r="E62" s="10" t="str">
        <x:v>ACT-012</x:v>
      </x:c>
      <x:c r="F62" s="10" t="str">
        <x:v>Humain</x:v>
      </x:c>
      <x:c r="G62" s="10" t="str">
        <x:v>Terminé</x:v>
      </x:c>
      <x:c r="H62" s="10" t="str">
        <x:v>SRC-103</x:v>
      </x:c>
      <x:c r="I62" s="10" t="str">
        <x:v>SYNTHETIQUE</x:v>
      </x:c>
    </x:row>
    <x:row r="63" ht="28" customHeight="1">
      <x:c r="A63" s="11" t="str">
        <x:v>EVT-058</x:v>
      </x:c>
      <x:c r="B63" s="11" t="str">
        <x:v>DOS-FICT-014</x:v>
      </x:c>
      <x:c r="C63" s="11" t="str">
        <x:v>Paiement préparé</x:v>
      </x:c>
      <x:c r="D63" s="23" t="n">
        <x:v>46249.604166666664</x:v>
      </x:c>
      <x:c r="E63" s="11" t="str">
        <x:v>ACT-012</x:v>
      </x:c>
      <x:c r="F63" s="11" t="str">
        <x:v>Humain</x:v>
      </x:c>
      <x:c r="G63" s="11" t="str">
        <x:v>Demande de paiement préparée</x:v>
      </x:c>
      <x:c r="H63" s="11" t="str">
        <x:v>SRC-103</x:v>
      </x:c>
      <x:c r="I63" s="11" t="str">
        <x:v>SYNTHETIQUE</x:v>
      </x:c>
    </x:row>
    <x:row r="64" ht="28" customHeight="1">
      <x:c r="A64" s="10" t="str">
        <x:v>EVT-059</x:v>
      </x:c>
      <x:c r="B64" s="10" t="str">
        <x:v>DOS-FICT-015</x:v>
      </x:c>
      <x:c r="C64" s="10" t="str">
        <x:v>Déclaration reçue</x:v>
      </x:c>
      <x:c r="D64" s="22" t="n">
        <x:v>46250.333333333336</x:v>
      </x:c>
      <x:c r="E64" s="10" t="str">
        <x:v>ACT-011</x:v>
      </x:c>
      <x:c r="F64" s="10" t="str">
        <x:v>Humain</x:v>
      </x:c>
      <x:c r="G64" s="10" t="str">
        <x:v>Terminé</x:v>
      </x:c>
      <x:c r="H64" s="10" t="str">
        <x:v>SRC-103</x:v>
      </x:c>
      <x:c r="I64" s="10" t="str">
        <x:v>SYNTHETIQUE</x:v>
      </x:c>
    </x:row>
    <x:row r="65" ht="28" customHeight="1">
      <x:c r="A65" s="11" t="str">
        <x:v>EVT-060</x:v>
      </x:c>
      <x:c r="B65" s="11" t="str">
        <x:v>DOS-FICT-015</x:v>
      </x:c>
      <x:c r="C65" s="11" t="str">
        <x:v>Pièces contrôlées</x:v>
      </x:c>
      <x:c r="D65" s="23" t="n">
        <x:v>46250.375</x:v>
      </x:c>
      <x:c r="E65" s="11" t="str">
        <x:v>ACT-011</x:v>
      </x:c>
      <x:c r="F65" s="11" t="str">
        <x:v>Humain</x:v>
      </x:c>
      <x:c r="G65" s="11" t="str">
        <x:v>Terminé</x:v>
      </x:c>
      <x:c r="H65" s="11" t="str">
        <x:v>SRC-103</x:v>
      </x:c>
      <x:c r="I65" s="11" t="str">
        <x:v>SYNTHETIQUE</x:v>
      </x:c>
    </x:row>
    <x:row r="66" ht="28" customHeight="1">
      <x:c r="A66" s="10" t="str">
        <x:v>EVT-061</x:v>
      </x:c>
      <x:c r="B66" s="10" t="str">
        <x:v>DOS-FICT-015</x:v>
      </x:c>
      <x:c r="C66" s="10" t="str">
        <x:v>Synthèse préparée</x:v>
      </x:c>
      <x:c r="D66" s="22" t="n">
        <x:v>46250.395833333336</x:v>
      </x:c>
      <x:c r="E66" s="10" t="str">
        <x:v>ACT-011</x:v>
      </x:c>
      <x:c r="F66" s="10" t="str">
        <x:v>AI-001</x:v>
      </x:c>
      <x:c r="G66" s="10" t="str">
        <x:v>Terminé</x:v>
      </x:c>
      <x:c r="H66" s="10" t="str">
        <x:v>SRC-103</x:v>
      </x:c>
      <x:c r="I66" s="10" t="str">
        <x:v>SYNTHETIQUE</x:v>
      </x:c>
    </x:row>
    <x:row r="67" ht="28" customHeight="1">
      <x:c r="A67" s="11" t="str">
        <x:v>EVT-062</x:v>
      </x:c>
      <x:c r="B67" s="11" t="str">
        <x:v>DOS-FICT-015</x:v>
      </x:c>
      <x:c r="C67" s="11" t="str">
        <x:v>Décision validée</x:v>
      </x:c>
      <x:c r="D67" s="23" t="n">
        <x:v>46250.416666666664</x:v>
      </x:c>
      <x:c r="E67" s="11" t="str">
        <x:v>ACT-012</x:v>
      </x:c>
      <x:c r="F67" s="11" t="str">
        <x:v>Humain</x:v>
      </x:c>
      <x:c r="G67" s="11" t="str">
        <x:v>Terminé</x:v>
      </x:c>
      <x:c r="H67" s="11" t="str">
        <x:v>SRC-103</x:v>
      </x:c>
      <x:c r="I67" s="11" t="str">
        <x:v>SYNTHETIQUE</x:v>
      </x:c>
    </x:row>
    <x:row r="68" ht="28" customHeight="1">
      <x:c r="A68" s="10" t="str">
        <x:v>EVT-063</x:v>
      </x:c>
      <x:c r="B68" s="10" t="str">
        <x:v>DOS-FICT-015</x:v>
      </x:c>
      <x:c r="C68" s="10" t="str">
        <x:v>Paiement préparé</x:v>
      </x:c>
      <x:c r="D68" s="22" t="n">
        <x:v>46250.4375</x:v>
      </x:c>
      <x:c r="E68" s="10" t="str">
        <x:v>ACT-012</x:v>
      </x:c>
      <x:c r="F68" s="10" t="str">
        <x:v>Humain</x:v>
      </x:c>
      <x:c r="G68" s="10" t="str">
        <x:v>Demande de paiement préparée</x:v>
      </x:c>
      <x:c r="H68" s="10" t="str">
        <x:v>SRC-103</x:v>
      </x:c>
      <x:c r="I68" s="10" t="str">
        <x:v>SYNTHETIQUE</x:v>
      </x:c>
    </x:row>
    <x:row r="69" ht="28" customHeight="1">
      <x:c r="A69" s="11" t="str">
        <x:v>EVT-064</x:v>
      </x:c>
      <x:c r="B69" s="11" t="str">
        <x:v>DOS-FICT-016</x:v>
      </x:c>
      <x:c r="C69" s="11" t="str">
        <x:v>Déclaration reçue</x:v>
      </x:c>
      <x:c r="D69" s="23" t="n">
        <x:v>46251.333333333336</x:v>
      </x:c>
      <x:c r="E69" s="11" t="str">
        <x:v>ACT-011</x:v>
      </x:c>
      <x:c r="F69" s="11" t="str">
        <x:v>Humain</x:v>
      </x:c>
      <x:c r="G69" s="11" t="str">
        <x:v>Terminé</x:v>
      </x:c>
      <x:c r="H69" s="11" t="str">
        <x:v>SRC-103</x:v>
      </x:c>
      <x:c r="I69" s="11" t="str">
        <x:v>SYNTHETIQUE</x:v>
      </x:c>
    </x:row>
    <x:row r="70" ht="28" customHeight="1">
      <x:c r="A70" s="10" t="str">
        <x:v>EVT-065</x:v>
      </x:c>
      <x:c r="B70" s="10" t="str">
        <x:v>DOS-FICT-016</x:v>
      </x:c>
      <x:c r="C70" s="10" t="str">
        <x:v>Pièces contrôlées</x:v>
      </x:c>
      <x:c r="D70" s="22" t="n">
        <x:v>46251.416666666664</x:v>
      </x:c>
      <x:c r="E70" s="10" t="str">
        <x:v>ACT-011</x:v>
      </x:c>
      <x:c r="F70" s="10" t="str">
        <x:v>Humain</x:v>
      </x:c>
      <x:c r="G70" s="10" t="str">
        <x:v>Terminé</x:v>
      </x:c>
      <x:c r="H70" s="10" t="str">
        <x:v>SRC-103</x:v>
      </x:c>
      <x:c r="I70" s="10" t="str">
        <x:v>SYNTHETIQUE</x:v>
      </x:c>
    </x:row>
    <x:row r="71" ht="28" customHeight="1">
      <x:c r="A71" s="11" t="str">
        <x:v>EVT-066</x:v>
      </x:c>
      <x:c r="B71" s="11" t="str">
        <x:v>DOS-FICT-016</x:v>
      </x:c>
      <x:c r="C71" s="11" t="str">
        <x:v>Synthèse préparée</x:v>
      </x:c>
      <x:c r="D71" s="23" t="n">
        <x:v>46251.4375</x:v>
      </x:c>
      <x:c r="E71" s="11" t="str">
        <x:v>ACT-011</x:v>
      </x:c>
      <x:c r="F71" s="11" t="str">
        <x:v>AI-001</x:v>
      </x:c>
      <x:c r="G71" s="11" t="str">
        <x:v>Terminé</x:v>
      </x:c>
      <x:c r="H71" s="11" t="str">
        <x:v>SRC-103</x:v>
      </x:c>
      <x:c r="I71" s="11" t="str">
        <x:v>SYNTHETIQUE</x:v>
      </x:c>
    </x:row>
    <x:row r="72" ht="28" customHeight="1">
      <x:c r="A72" s="10" t="str">
        <x:v>EVT-067</x:v>
      </x:c>
      <x:c r="B72" s="10" t="str">
        <x:v>DOS-FICT-016</x:v>
      </x:c>
      <x:c r="C72" s="10" t="str">
        <x:v>Décision validée</x:v>
      </x:c>
      <x:c r="D72" s="22" t="n">
        <x:v>46251.458333333336</x:v>
      </x:c>
      <x:c r="E72" s="10" t="str">
        <x:v>ACT-012</x:v>
      </x:c>
      <x:c r="F72" s="10" t="str">
        <x:v>Humain</x:v>
      </x:c>
      <x:c r="G72" s="10" t="str">
        <x:v>Terminé</x:v>
      </x:c>
      <x:c r="H72" s="10" t="str">
        <x:v>SRC-103</x:v>
      </x:c>
      <x:c r="I72" s="10" t="str">
        <x:v>SYNTHETIQUE</x:v>
      </x:c>
    </x:row>
    <x:row r="73" ht="28" customHeight="1">
      <x:c r="A73" s="11" t="str">
        <x:v>EVT-068</x:v>
      </x:c>
      <x:c r="B73" s="11" t="str">
        <x:v>DOS-FICT-016</x:v>
      </x:c>
      <x:c r="C73" s="11" t="str">
        <x:v>Paiement préparé</x:v>
      </x:c>
      <x:c r="D73" s="23" t="n">
        <x:v>46251.479166666664</x:v>
      </x:c>
      <x:c r="E73" s="11" t="str">
        <x:v>ACT-012</x:v>
      </x:c>
      <x:c r="F73" s="11" t="str">
        <x:v>Humain</x:v>
      </x:c>
      <x:c r="G73" s="11" t="str">
        <x:v>Demande de paiement préparée</x:v>
      </x:c>
      <x:c r="H73" s="11" t="str">
        <x:v>SRC-103</x:v>
      </x:c>
      <x:c r="I73" s="11" t="str">
        <x:v>SYNTHETIQUE</x:v>
      </x:c>
    </x:row>
    <x:row r="74" ht="28" customHeight="1">
      <x:c r="A74" s="10" t="str">
        <x:v>EVT-069</x:v>
      </x:c>
      <x:c r="B74" s="10" t="str">
        <x:v>DOS-FICT-017</x:v>
      </x:c>
      <x:c r="C74" s="10" t="str">
        <x:v>Déclaration reçue</x:v>
      </x:c>
      <x:c r="D74" s="22" t="n">
        <x:v>46252.333333333336</x:v>
      </x:c>
      <x:c r="E74" s="10" t="str">
        <x:v>ACT-011</x:v>
      </x:c>
      <x:c r="F74" s="10" t="str">
        <x:v>Humain</x:v>
      </x:c>
      <x:c r="G74" s="10" t="str">
        <x:v>Terminé</x:v>
      </x:c>
      <x:c r="H74" s="10" t="str">
        <x:v>SRC-103</x:v>
      </x:c>
      <x:c r="I74" s="10" t="str">
        <x:v>SYNTHETIQUE</x:v>
      </x:c>
    </x:row>
    <x:row r="75" ht="28" customHeight="1">
      <x:c r="A75" s="11" t="str">
        <x:v>EVT-070</x:v>
      </x:c>
      <x:c r="B75" s="11" t="str">
        <x:v>DOS-FICT-017</x:v>
      </x:c>
      <x:c r="C75" s="11" t="str">
        <x:v>Pièces contrôlées</x:v>
      </x:c>
      <x:c r="D75" s="23" t="n">
        <x:v>46252.458333333336</x:v>
      </x:c>
      <x:c r="E75" s="11" t="str">
        <x:v>ACT-011</x:v>
      </x:c>
      <x:c r="F75" s="11" t="str">
        <x:v>Humain</x:v>
      </x:c>
      <x:c r="G75" s="11" t="str">
        <x:v>Terminé</x:v>
      </x:c>
      <x:c r="H75" s="11" t="str">
        <x:v>SRC-103</x:v>
      </x:c>
      <x:c r="I75" s="11" t="str">
        <x:v>SYNTHETIQUE</x:v>
      </x:c>
    </x:row>
    <x:row r="76" ht="28" customHeight="1">
      <x:c r="A76" s="10" t="str">
        <x:v>EVT-071</x:v>
      </x:c>
      <x:c r="B76" s="10" t="str">
        <x:v>DOS-FICT-017</x:v>
      </x:c>
      <x:c r="C76" s="10" t="str">
        <x:v>Synthèse préparée</x:v>
      </x:c>
      <x:c r="D76" s="22" t="n">
        <x:v>46252.479166666664</x:v>
      </x:c>
      <x:c r="E76" s="10" t="str">
        <x:v>ACT-011</x:v>
      </x:c>
      <x:c r="F76" s="10" t="str">
        <x:v>AI-001</x:v>
      </x:c>
      <x:c r="G76" s="10" t="str">
        <x:v>Terminé</x:v>
      </x:c>
      <x:c r="H76" s="10" t="str">
        <x:v>SRC-103</x:v>
      </x:c>
      <x:c r="I76" s="10" t="str">
        <x:v>SYNTHETIQUE</x:v>
      </x:c>
    </x:row>
    <x:row r="77" ht="28" customHeight="1">
      <x:c r="A77" s="11" t="str">
        <x:v>EVT-072</x:v>
      </x:c>
      <x:c r="B77" s="11" t="str">
        <x:v>DOS-FICT-017</x:v>
      </x:c>
      <x:c r="C77" s="11" t="str">
        <x:v>Décision validée</x:v>
      </x:c>
      <x:c r="D77" s="23" t="n">
        <x:v>46252.5</x:v>
      </x:c>
      <x:c r="E77" s="11" t="str">
        <x:v>ACT-012</x:v>
      </x:c>
      <x:c r="F77" s="11" t="str">
        <x:v>Humain</x:v>
      </x:c>
      <x:c r="G77" s="11" t="str">
        <x:v>Terminé</x:v>
      </x:c>
      <x:c r="H77" s="11" t="str">
        <x:v>SRC-103</x:v>
      </x:c>
      <x:c r="I77" s="11" t="str">
        <x:v>SYNTHETIQUE</x:v>
      </x:c>
    </x:row>
    <x:row r="78" ht="28" customHeight="1">
      <x:c r="A78" s="10" t="str">
        <x:v>EVT-073</x:v>
      </x:c>
      <x:c r="B78" s="10" t="str">
        <x:v>DOS-FICT-017</x:v>
      </x:c>
      <x:c r="C78" s="10" t="str">
        <x:v>Paiement préparé</x:v>
      </x:c>
      <x:c r="D78" s="22" t="n">
        <x:v>46252.520833333336</x:v>
      </x:c>
      <x:c r="E78" s="10" t="str">
        <x:v>ACT-012</x:v>
      </x:c>
      <x:c r="F78" s="10" t="str">
        <x:v>Humain</x:v>
      </x:c>
      <x:c r="G78" s="10" t="str">
        <x:v>Demande de paiement préparée</x:v>
      </x:c>
      <x:c r="H78" s="10" t="str">
        <x:v>SRC-103</x:v>
      </x:c>
      <x:c r="I78" s="10" t="str">
        <x:v>SYNTHETIQUE</x:v>
      </x:c>
    </x:row>
    <x:row r="79" ht="28" customHeight="1">
      <x:c r="A79" s="11" t="str">
        <x:v>EVT-074</x:v>
      </x:c>
      <x:c r="B79" s="11" t="str">
        <x:v>DOS-FICT-018</x:v>
      </x:c>
      <x:c r="C79" s="11" t="str">
        <x:v>Déclaration reçue</x:v>
      </x:c>
      <x:c r="D79" s="23" t="n">
        <x:v>46253.333333333336</x:v>
      </x:c>
      <x:c r="E79" s="11" t="str">
        <x:v>ACT-011</x:v>
      </x:c>
      <x:c r="F79" s="11" t="str">
        <x:v>Humain</x:v>
      </x:c>
      <x:c r="G79" s="11" t="str">
        <x:v>Terminé</x:v>
      </x:c>
      <x:c r="H79" s="11" t="str">
        <x:v>SRC-103</x:v>
      </x:c>
      <x:c r="I79" s="11" t="str">
        <x:v>SYNTHETIQUE</x:v>
      </x:c>
    </x:row>
    <x:row r="80" ht="28" customHeight="1">
      <x:c r="A80" s="10" t="str">
        <x:v>EVT-075</x:v>
      </x:c>
      <x:c r="B80" s="10" t="str">
        <x:v>DOS-FICT-018</x:v>
      </x:c>
      <x:c r="C80" s="10" t="str">
        <x:v>Pièces contrôlées</x:v>
      </x:c>
      <x:c r="D80" s="22" t="n">
        <x:v>46253.5</x:v>
      </x:c>
      <x:c r="E80" s="10" t="str">
        <x:v>ACT-011</x:v>
      </x:c>
      <x:c r="F80" s="10" t="str">
        <x:v>Humain</x:v>
      </x:c>
      <x:c r="G80" s="10" t="str">
        <x:v>Terminé</x:v>
      </x:c>
      <x:c r="H80" s="10" t="str">
        <x:v>SRC-103</x:v>
      </x:c>
      <x:c r="I80" s="10" t="str">
        <x:v>SYNTHETIQUE</x:v>
      </x:c>
    </x:row>
    <x:row r="81" ht="28" customHeight="1">
      <x:c r="A81" s="11" t="str">
        <x:v>EVT-076</x:v>
      </x:c>
      <x:c r="B81" s="11" t="str">
        <x:v>DOS-FICT-018</x:v>
      </x:c>
      <x:c r="C81" s="11" t="str">
        <x:v>Synthèse préparée</x:v>
      </x:c>
      <x:c r="D81" s="23" t="n">
        <x:v>46253.520833333336</x:v>
      </x:c>
      <x:c r="E81" s="11" t="str">
        <x:v>ACT-011</x:v>
      </x:c>
      <x:c r="F81" s="11" t="str">
        <x:v>AI-001</x:v>
      </x:c>
      <x:c r="G81" s="11" t="str">
        <x:v>Terminé</x:v>
      </x:c>
      <x:c r="H81" s="11" t="str">
        <x:v>SRC-103</x:v>
      </x:c>
      <x:c r="I81" s="11" t="str">
        <x:v>SYNTHETIQUE</x:v>
      </x:c>
    </x:row>
    <x:row r="82" ht="28" customHeight="1">
      <x:c r="A82" s="10" t="str">
        <x:v>EVT-077</x:v>
      </x:c>
      <x:c r="B82" s="10" t="str">
        <x:v>DOS-FICT-018</x:v>
      </x:c>
      <x:c r="C82" s="10" t="str">
        <x:v>Décision validée</x:v>
      </x:c>
      <x:c r="D82" s="22" t="n">
        <x:v>46253.541666666664</x:v>
      </x:c>
      <x:c r="E82" s="10" t="str">
        <x:v>ACT-012</x:v>
      </x:c>
      <x:c r="F82" s="10" t="str">
        <x:v>Humain</x:v>
      </x:c>
      <x:c r="G82" s="10" t="str">
        <x:v>Terminé</x:v>
      </x:c>
      <x:c r="H82" s="10" t="str">
        <x:v>SRC-103</x:v>
      </x:c>
      <x:c r="I82" s="10" t="str">
        <x:v>SYNTHETIQUE</x:v>
      </x:c>
    </x:row>
    <x:row r="83" ht="28" customHeight="1">
      <x:c r="A83" s="11" t="str">
        <x:v>EVT-078</x:v>
      </x:c>
      <x:c r="B83" s="11" t="str">
        <x:v>DOS-FICT-018</x:v>
      </x:c>
      <x:c r="C83" s="11" t="str">
        <x:v>Paiement préparé</x:v>
      </x:c>
      <x:c r="D83" s="23" t="n">
        <x:v>46253.5625</x:v>
      </x:c>
      <x:c r="E83" s="11" t="str">
        <x:v>ACT-012</x:v>
      </x:c>
      <x:c r="F83" s="11" t="str">
        <x:v>Humain</x:v>
      </x:c>
      <x:c r="G83" s="11" t="str">
        <x:v>Demande de paiement préparée</x:v>
      </x:c>
      <x:c r="H83" s="11" t="str">
        <x:v>SRC-103</x:v>
      </x:c>
      <x:c r="I83" s="11" t="str">
        <x:v>SYNTHETIQUE</x:v>
      </x:c>
    </x:row>
    <x:row r="84" ht="28" customHeight="1">
      <x:c r="A84" s="10" t="str">
        <x:v>EVT-079</x:v>
      </x:c>
      <x:c r="B84" s="10" t="str">
        <x:v>DOS-FICT-019</x:v>
      </x:c>
      <x:c r="C84" s="10" t="str">
        <x:v>Déclaration reçue</x:v>
      </x:c>
      <x:c r="D84" s="22" t="n">
        <x:v>46254.333333333336</x:v>
      </x:c>
      <x:c r="E84" s="10" t="str">
        <x:v>ACT-011</x:v>
      </x:c>
      <x:c r="F84" s="10" t="str">
        <x:v>Humain</x:v>
      </x:c>
      <x:c r="G84" s="10" t="str">
        <x:v>Terminé</x:v>
      </x:c>
      <x:c r="H84" s="10" t="str">
        <x:v>SRC-103</x:v>
      </x:c>
      <x:c r="I84" s="10" t="str">
        <x:v>SYNTHETIQUE</x:v>
      </x:c>
    </x:row>
    <x:row r="85" ht="28" customHeight="1">
      <x:c r="A85" s="11" t="str">
        <x:v>EVT-080</x:v>
      </x:c>
      <x:c r="B85" s="11" t="str">
        <x:v>DOS-FICT-019</x:v>
      </x:c>
      <x:c r="C85" s="11" t="str">
        <x:v>Pièces contrôlées</x:v>
      </x:c>
      <x:c r="D85" s="23" t="n">
        <x:v>46254.541666666664</x:v>
      </x:c>
      <x:c r="E85" s="11" t="str">
        <x:v>ACT-011</x:v>
      </x:c>
      <x:c r="F85" s="11" t="str">
        <x:v>Humain</x:v>
      </x:c>
      <x:c r="G85" s="11" t="str">
        <x:v>Terminé</x:v>
      </x:c>
      <x:c r="H85" s="11" t="str">
        <x:v>SRC-103</x:v>
      </x:c>
      <x:c r="I85" s="11" t="str">
        <x:v>SYNTHETIQUE</x:v>
      </x:c>
    </x:row>
    <x:row r="86" ht="28" customHeight="1">
      <x:c r="A86" s="10" t="str">
        <x:v>EVT-081</x:v>
      </x:c>
      <x:c r="B86" s="10" t="str">
        <x:v>DOS-FICT-019</x:v>
      </x:c>
      <x:c r="C86" s="10" t="str">
        <x:v>Synthèse préparée</x:v>
      </x:c>
      <x:c r="D86" s="22" t="n">
        <x:v>46254.5625</x:v>
      </x:c>
      <x:c r="E86" s="10" t="str">
        <x:v>ACT-011</x:v>
      </x:c>
      <x:c r="F86" s="10" t="str">
        <x:v>AI-001</x:v>
      </x:c>
      <x:c r="G86" s="10" t="str">
        <x:v>Terminé</x:v>
      </x:c>
      <x:c r="H86" s="10" t="str">
        <x:v>SRC-103</x:v>
      </x:c>
      <x:c r="I86" s="10" t="str">
        <x:v>SYNTHETIQUE</x:v>
      </x:c>
    </x:row>
    <x:row r="87" ht="28" customHeight="1">
      <x:c r="A87" s="11" t="str">
        <x:v>EVT-082</x:v>
      </x:c>
      <x:c r="B87" s="11" t="str">
        <x:v>DOS-FICT-019</x:v>
      </x:c>
      <x:c r="C87" s="11" t="str">
        <x:v>Décision validée</x:v>
      </x:c>
      <x:c r="D87" s="23" t="n">
        <x:v>46254.583333333336</x:v>
      </x:c>
      <x:c r="E87" s="11" t="str">
        <x:v>ACT-012</x:v>
      </x:c>
      <x:c r="F87" s="11" t="str">
        <x:v>Humain</x:v>
      </x:c>
      <x:c r="G87" s="11" t="str">
        <x:v>Terminé</x:v>
      </x:c>
      <x:c r="H87" s="11" t="str">
        <x:v>SRC-103</x:v>
      </x:c>
      <x:c r="I87" s="11" t="str">
        <x:v>SYNTHETIQUE</x:v>
      </x:c>
    </x:row>
    <x:row r="88" ht="28" customHeight="1">
      <x:c r="A88" s="10" t="str">
        <x:v>EVT-083</x:v>
      </x:c>
      <x:c r="B88" s="10" t="str">
        <x:v>DOS-FICT-019</x:v>
      </x:c>
      <x:c r="C88" s="10" t="str">
        <x:v>Paiement préparé</x:v>
      </x:c>
      <x:c r="D88" s="22" t="n">
        <x:v>46254.604166666664</x:v>
      </x:c>
      <x:c r="E88" s="10" t="str">
        <x:v>ACT-012</x:v>
      </x:c>
      <x:c r="F88" s="10" t="str">
        <x:v>Humain</x:v>
      </x:c>
      <x:c r="G88" s="10" t="str">
        <x:v>Demande de paiement préparée</x:v>
      </x:c>
      <x:c r="H88" s="10" t="str">
        <x:v>SRC-103</x:v>
      </x:c>
      <x:c r="I88" s="10" t="str">
        <x:v>SYNTHETIQUE</x:v>
      </x:c>
    </x:row>
    <x:row r="89" ht="28" customHeight="1">
      <x:c r="A89" s="11" t="str">
        <x:v>EVT-084</x:v>
      </x:c>
      <x:c r="B89" s="11" t="str">
        <x:v>DOS-FICT-020</x:v>
      </x:c>
      <x:c r="C89" s="11" t="str">
        <x:v>Déclaration reçue</x:v>
      </x:c>
      <x:c r="D89" s="23" t="n">
        <x:v>46235.333333333336</x:v>
      </x:c>
      <x:c r="E89" s="11" t="str">
        <x:v>ACT-011</x:v>
      </x:c>
      <x:c r="F89" s="11" t="str">
        <x:v>Humain</x:v>
      </x:c>
      <x:c r="G89" s="11" t="str">
        <x:v>Terminé</x:v>
      </x:c>
      <x:c r="H89" s="11" t="str">
        <x:v>SRC-103</x:v>
      </x:c>
      <x:c r="I89" s="11" t="str">
        <x:v>SYNTHETIQUE</x:v>
      </x:c>
    </x:row>
    <x:row r="90" ht="28" customHeight="1">
      <x:c r="A90" s="10" t="str">
        <x:v>EVT-085</x:v>
      </x:c>
      <x:c r="B90" s="10" t="str">
        <x:v>DOS-FICT-020</x:v>
      </x:c>
      <x:c r="C90" s="10" t="str">
        <x:v>Pièces contrôlées</x:v>
      </x:c>
      <x:c r="D90" s="22" t="n">
        <x:v>46235.375</x:v>
      </x:c>
      <x:c r="E90" s="10" t="str">
        <x:v>ACT-011</x:v>
      </x:c>
      <x:c r="F90" s="10" t="str">
        <x:v>Humain</x:v>
      </x:c>
      <x:c r="G90" s="10" t="str">
        <x:v>Terminé</x:v>
      </x:c>
      <x:c r="H90" s="10" t="str">
        <x:v>SRC-103</x:v>
      </x:c>
      <x:c r="I90" s="10" t="str">
        <x:v>SYNTHETIQUE</x:v>
      </x:c>
    </x:row>
    <x:row r="91" ht="28" customHeight="1">
      <x:c r="A91" s="11" t="str">
        <x:v>EVT-086</x:v>
      </x:c>
      <x:c r="B91" s="11" t="str">
        <x:v>DOS-FICT-020</x:v>
      </x:c>
      <x:c r="C91" s="11" t="str">
        <x:v>Synthèse préparée</x:v>
      </x:c>
      <x:c r="D91" s="23" t="n">
        <x:v>46235.395833333336</x:v>
      </x:c>
      <x:c r="E91" s="11" t="str">
        <x:v>ACT-011</x:v>
      </x:c>
      <x:c r="F91" s="11" t="str">
        <x:v>AI-001</x:v>
      </x:c>
      <x:c r="G91" s="11" t="str">
        <x:v>Terminé</x:v>
      </x:c>
      <x:c r="H91" s="11" t="str">
        <x:v>SRC-103</x:v>
      </x:c>
      <x:c r="I91" s="11" t="str">
        <x:v>SYNTHETIQUE</x:v>
      </x:c>
    </x:row>
    <x:row r="92" ht="28" customHeight="1">
      <x:c r="A92" s="10" t="str">
        <x:v>EVT-087</x:v>
      </x:c>
      <x:c r="B92" s="10" t="str">
        <x:v>DOS-FICT-020</x:v>
      </x:c>
      <x:c r="C92" s="10" t="str">
        <x:v>Décision validée</x:v>
      </x:c>
      <x:c r="D92" s="22" t="n">
        <x:v>46235.416666666664</x:v>
      </x:c>
      <x:c r="E92" s="10" t="str">
        <x:v>ACT-012</x:v>
      </x:c>
      <x:c r="F92" s="10" t="str">
        <x:v>Humain</x:v>
      </x:c>
      <x:c r="G92" s="10" t="str">
        <x:v>Terminé</x:v>
      </x:c>
      <x:c r="H92" s="10" t="str">
        <x:v>SRC-103</x:v>
      </x:c>
      <x:c r="I92" s="10" t="str">
        <x:v>SYNTHETIQUE</x:v>
      </x:c>
    </x:row>
    <x:row r="93" ht="28" customHeight="1">
      <x:c r="A93" s="11" t="str">
        <x:v>EVT-088</x:v>
      </x:c>
      <x:c r="B93" s="11" t="str">
        <x:v>DOS-FICT-020</x:v>
      </x:c>
      <x:c r="C93" s="11" t="str">
        <x:v>Paiement préparé</x:v>
      </x:c>
      <x:c r="D93" s="23" t="n">
        <x:v>46235.4375</x:v>
      </x:c>
      <x:c r="E93" s="11" t="str">
        <x:v>ACT-012</x:v>
      </x:c>
      <x:c r="F93" s="11" t="str">
        <x:v>Humain</x:v>
      </x:c>
      <x:c r="G93" s="11" t="str">
        <x:v>Demande de paiement préparée</x:v>
      </x:c>
      <x:c r="H93" s="11" t="str">
        <x:v>SRC-103</x:v>
      </x:c>
      <x:c r="I93" s="11" t="str">
        <x:v>SYNTHETIQUE</x:v>
      </x:c>
    </x:row>
    <x:row r="94" ht="28" customHeight="1">
      <x:c r="A94" s="10" t="str">
        <x:v>EVT-089</x:v>
      </x:c>
      <x:c r="B94" s="10" t="str">
        <x:v>DOS-FICT-021</x:v>
      </x:c>
      <x:c r="C94" s="10" t="str">
        <x:v>Déclaration reçue</x:v>
      </x:c>
      <x:c r="D94" s="22" t="n">
        <x:v>46236.333333333336</x:v>
      </x:c>
      <x:c r="E94" s="10" t="str">
        <x:v>ACT-011</x:v>
      </x:c>
      <x:c r="F94" s="10" t="str">
        <x:v>Humain</x:v>
      </x:c>
      <x:c r="G94" s="10" t="str">
        <x:v>Terminé</x:v>
      </x:c>
      <x:c r="H94" s="10" t="str">
        <x:v>SRC-103</x:v>
      </x:c>
      <x:c r="I94" s="10" t="str">
        <x:v>SYNTHETIQUE</x:v>
      </x:c>
    </x:row>
    <x:row r="95" ht="28" customHeight="1">
      <x:c r="A95" s="11" t="str">
        <x:v>EVT-090</x:v>
      </x:c>
      <x:c r="B95" s="11" t="str">
        <x:v>DOS-FICT-021</x:v>
      </x:c>
      <x:c r="C95" s="11" t="str">
        <x:v>Pièces contrôlées</x:v>
      </x:c>
      <x:c r="D95" s="23" t="n">
        <x:v>46236.416666666664</x:v>
      </x:c>
      <x:c r="E95" s="11" t="str">
        <x:v>ACT-011</x:v>
      </x:c>
      <x:c r="F95" s="11" t="str">
        <x:v>Humain</x:v>
      </x:c>
      <x:c r="G95" s="11" t="str">
        <x:v>Terminé</x:v>
      </x:c>
      <x:c r="H95" s="11" t="str">
        <x:v>SRC-103</x:v>
      </x:c>
      <x:c r="I95" s="11" t="str">
        <x:v>SYNTHETIQUE</x:v>
      </x:c>
    </x:row>
    <x:row r="96" ht="28" customHeight="1">
      <x:c r="A96" s="10" t="str">
        <x:v>EVT-091</x:v>
      </x:c>
      <x:c r="B96" s="10" t="str">
        <x:v>DOS-FICT-021</x:v>
      </x:c>
      <x:c r="C96" s="10" t="str">
        <x:v>Synthèse préparée</x:v>
      </x:c>
      <x:c r="D96" s="22" t="n">
        <x:v>46236.4375</x:v>
      </x:c>
      <x:c r="E96" s="10" t="str">
        <x:v>ACT-011</x:v>
      </x:c>
      <x:c r="F96" s="10" t="str">
        <x:v>AI-001</x:v>
      </x:c>
      <x:c r="G96" s="10" t="str">
        <x:v>Terminé</x:v>
      </x:c>
      <x:c r="H96" s="10" t="str">
        <x:v>SRC-103</x:v>
      </x:c>
      <x:c r="I96" s="10" t="str">
        <x:v>SYNTHETIQUE</x:v>
      </x:c>
    </x:row>
    <x:row r="97" ht="28" customHeight="1">
      <x:c r="A97" s="11" t="str">
        <x:v>EVT-092</x:v>
      </x:c>
      <x:c r="B97" s="11" t="str">
        <x:v>DOS-FICT-021</x:v>
      </x:c>
      <x:c r="C97" s="11" t="str">
        <x:v>Décision validée</x:v>
      </x:c>
      <x:c r="D97" s="23" t="n">
        <x:v>46236.458333333336</x:v>
      </x:c>
      <x:c r="E97" s="11" t="str">
        <x:v>ACT-012</x:v>
      </x:c>
      <x:c r="F97" s="11" t="str">
        <x:v>Humain</x:v>
      </x:c>
      <x:c r="G97" s="11" t="str">
        <x:v>Terminé</x:v>
      </x:c>
      <x:c r="H97" s="11" t="str">
        <x:v>SRC-103</x:v>
      </x:c>
      <x:c r="I97" s="11" t="str">
        <x:v>SYNTHETIQUE</x:v>
      </x:c>
    </x:row>
    <x:row r="98" ht="28" customHeight="1">
      <x:c r="A98" s="10" t="str">
        <x:v>EVT-093</x:v>
      </x:c>
      <x:c r="B98" s="10" t="str">
        <x:v>DOS-FICT-021</x:v>
      </x:c>
      <x:c r="C98" s="10" t="str">
        <x:v>Paiement préparé</x:v>
      </x:c>
      <x:c r="D98" s="22" t="n">
        <x:v>46236.479166666664</x:v>
      </x:c>
      <x:c r="E98" s="10" t="str">
        <x:v>ACT-012</x:v>
      </x:c>
      <x:c r="F98" s="10" t="str">
        <x:v>Humain</x:v>
      </x:c>
      <x:c r="G98" s="10" t="str">
        <x:v>Demande de paiement préparée</x:v>
      </x:c>
      <x:c r="H98" s="10" t="str">
        <x:v>SRC-103</x:v>
      </x:c>
      <x:c r="I98" s="10" t="str">
        <x:v>SYNTHETIQUE</x:v>
      </x:c>
    </x:row>
    <x:row r="99" ht="28" customHeight="1">
      <x:c r="A99" s="11" t="str">
        <x:v>EVT-094</x:v>
      </x:c>
      <x:c r="B99" s="11" t="str">
        <x:v>DOS-FICT-022</x:v>
      </x:c>
      <x:c r="C99" s="11" t="str">
        <x:v>Déclaration reçue</x:v>
      </x:c>
      <x:c r="D99" s="23" t="n">
        <x:v>46237.333333333336</x:v>
      </x:c>
      <x:c r="E99" s="11" t="str">
        <x:v>ACT-011</x:v>
      </x:c>
      <x:c r="F99" s="11" t="str">
        <x:v>Humain</x:v>
      </x:c>
      <x:c r="G99" s="11" t="str">
        <x:v>Terminé</x:v>
      </x:c>
      <x:c r="H99" s="11" t="str">
        <x:v>SRC-103</x:v>
      </x:c>
      <x:c r="I99" s="11" t="str">
        <x:v>SYNTHETIQUE</x:v>
      </x:c>
    </x:row>
    <x:row r="100" ht="28" customHeight="1">
      <x:c r="A100" s="10" t="str">
        <x:v>EVT-095</x:v>
      </x:c>
      <x:c r="B100" s="10" t="str">
        <x:v>DOS-FICT-022</x:v>
      </x:c>
      <x:c r="C100" s="10" t="str">
        <x:v>Pièces contrôlées</x:v>
      </x:c>
      <x:c r="D100" s="22" t="n">
        <x:v>46237.458333333336</x:v>
      </x:c>
      <x:c r="E100" s="10" t="str">
        <x:v>ACT-011</x:v>
      </x:c>
      <x:c r="F100" s="10" t="str">
        <x:v>Humain</x:v>
      </x:c>
      <x:c r="G100" s="10" t="str">
        <x:v>Terminé</x:v>
      </x:c>
      <x:c r="H100" s="10" t="str">
        <x:v>SRC-103</x:v>
      </x:c>
      <x:c r="I100" s="10" t="str">
        <x:v>SYNTHETIQUE</x:v>
      </x:c>
    </x:row>
    <x:row r="101" ht="28" customHeight="1">
      <x:c r="A101" s="11" t="str">
        <x:v>EVT-096</x:v>
      </x:c>
      <x:c r="B101" s="11" t="str">
        <x:v>DOS-FICT-022</x:v>
      </x:c>
      <x:c r="C101" s="11" t="str">
        <x:v>Synthèse préparée</x:v>
      </x:c>
      <x:c r="D101" s="23" t="n">
        <x:v>46237.479166666664</x:v>
      </x:c>
      <x:c r="E101" s="11" t="str">
        <x:v>ACT-011</x:v>
      </x:c>
      <x:c r="F101" s="11" t="str">
        <x:v>AI-001</x:v>
      </x:c>
      <x:c r="G101" s="11" t="str">
        <x:v>Terminé</x:v>
      </x:c>
      <x:c r="H101" s="11" t="str">
        <x:v>SRC-103</x:v>
      </x:c>
      <x:c r="I101" s="11" t="str">
        <x:v>SYNTHETIQUE</x:v>
      </x:c>
    </x:row>
    <x:row r="102" ht="28" customHeight="1">
      <x:c r="A102" s="10" t="str">
        <x:v>EVT-097</x:v>
      </x:c>
      <x:c r="B102" s="10" t="str">
        <x:v>DOS-FICT-022</x:v>
      </x:c>
      <x:c r="C102" s="10" t="str">
        <x:v>Décision validée</x:v>
      </x:c>
      <x:c r="D102" s="22" t="n">
        <x:v>46237.5</x:v>
      </x:c>
      <x:c r="E102" s="10" t="str">
        <x:v>ACT-012</x:v>
      </x:c>
      <x:c r="F102" s="10" t="str">
        <x:v>Humain</x:v>
      </x:c>
      <x:c r="G102" s="10" t="str">
        <x:v>Terminé</x:v>
      </x:c>
      <x:c r="H102" s="10" t="str">
        <x:v>SRC-103</x:v>
      </x:c>
      <x:c r="I102" s="10" t="str">
        <x:v>SYNTHETIQUE</x:v>
      </x:c>
    </x:row>
    <x:row r="103" ht="28" customHeight="1">
      <x:c r="A103" s="11" t="str">
        <x:v>EVT-098</x:v>
      </x:c>
      <x:c r="B103" s="11" t="str">
        <x:v>DOS-FICT-022</x:v>
      </x:c>
      <x:c r="C103" s="11" t="str">
        <x:v>Paiement préparé</x:v>
      </x:c>
      <x:c r="D103" s="23" t="n">
        <x:v>46237.520833333336</x:v>
      </x:c>
      <x:c r="E103" s="11" t="str">
        <x:v>ACT-012</x:v>
      </x:c>
      <x:c r="F103" s="11" t="str">
        <x:v>Humain</x:v>
      </x:c>
      <x:c r="G103" s="11" t="str">
        <x:v>Demande de paiement préparée</x:v>
      </x:c>
      <x:c r="H103" s="11" t="str">
        <x:v>SRC-103</x:v>
      </x:c>
      <x:c r="I103" s="11" t="str">
        <x:v>SYNTHETIQUE</x:v>
      </x:c>
    </x:row>
    <x:row r="104" ht="28" customHeight="1">
      <x:c r="A104" s="10" t="str">
        <x:v>EVT-099</x:v>
      </x:c>
      <x:c r="B104" s="10" t="str">
        <x:v>DOS-FICT-023</x:v>
      </x:c>
      <x:c r="C104" s="10" t="str">
        <x:v>Déclaration reçue</x:v>
      </x:c>
      <x:c r="D104" s="22" t="n">
        <x:v>46238.333333333336</x:v>
      </x:c>
      <x:c r="E104" s="10" t="str">
        <x:v>ACT-011</x:v>
      </x:c>
      <x:c r="F104" s="10" t="str">
        <x:v>Humain</x:v>
      </x:c>
      <x:c r="G104" s="10" t="str">
        <x:v>Terminé</x:v>
      </x:c>
      <x:c r="H104" s="10" t="str">
        <x:v>SRC-103</x:v>
      </x:c>
      <x:c r="I104" s="10" t="str">
        <x:v>SYNTHETIQUE</x:v>
      </x:c>
    </x:row>
    <x:row r="105" ht="28" customHeight="1">
      <x:c r="A105" s="11" t="str">
        <x:v>EVT-100</x:v>
      </x:c>
      <x:c r="B105" s="11" t="str">
        <x:v>DOS-FICT-023</x:v>
      </x:c>
      <x:c r="C105" s="11" t="str">
        <x:v>Pièces contrôlées</x:v>
      </x:c>
      <x:c r="D105" s="23" t="n">
        <x:v>46238.5</x:v>
      </x:c>
      <x:c r="E105" s="11" t="str">
        <x:v>ACT-011</x:v>
      </x:c>
      <x:c r="F105" s="11" t="str">
        <x:v>Humain</x:v>
      </x:c>
      <x:c r="G105" s="11" t="str">
        <x:v>Terminé</x:v>
      </x:c>
      <x:c r="H105" s="11" t="str">
        <x:v>SRC-103</x:v>
      </x:c>
      <x:c r="I105" s="11" t="str">
        <x:v>SYNTHETIQUE</x:v>
      </x:c>
    </x:row>
    <x:row r="106" ht="28" customHeight="1">
      <x:c r="A106" s="10" t="str">
        <x:v>EVT-101</x:v>
      </x:c>
      <x:c r="B106" s="10" t="str">
        <x:v>DOS-FICT-023</x:v>
      </x:c>
      <x:c r="C106" s="10" t="str">
        <x:v>Synthèse préparée</x:v>
      </x:c>
      <x:c r="D106" s="22" t="n">
        <x:v>46238.520833333336</x:v>
      </x:c>
      <x:c r="E106" s="10" t="str">
        <x:v>ACT-011</x:v>
      </x:c>
      <x:c r="F106" s="10" t="str">
        <x:v>AI-001</x:v>
      </x:c>
      <x:c r="G106" s="10" t="str">
        <x:v>Terminé</x:v>
      </x:c>
      <x:c r="H106" s="10" t="str">
        <x:v>SRC-103</x:v>
      </x:c>
      <x:c r="I106" s="10" t="str">
        <x:v>SYNTHETIQUE</x:v>
      </x:c>
    </x:row>
    <x:row r="107" ht="28" customHeight="1">
      <x:c r="A107" s="11" t="str">
        <x:v>EVT-102</x:v>
      </x:c>
      <x:c r="B107" s="11" t="str">
        <x:v>DOS-FICT-023</x:v>
      </x:c>
      <x:c r="C107" s="11" t="str">
        <x:v>Décision validée</x:v>
      </x:c>
      <x:c r="D107" s="23" t="n">
        <x:v>46238.541666666664</x:v>
      </x:c>
      <x:c r="E107" s="11" t="str">
        <x:v>ACT-012</x:v>
      </x:c>
      <x:c r="F107" s="11" t="str">
        <x:v>Humain</x:v>
      </x:c>
      <x:c r="G107" s="11" t="str">
        <x:v>Terminé</x:v>
      </x:c>
      <x:c r="H107" s="11" t="str">
        <x:v>SRC-103</x:v>
      </x:c>
      <x:c r="I107" s="11" t="str">
        <x:v>SYNTHETIQUE</x:v>
      </x:c>
    </x:row>
    <x:row r="108" ht="28" customHeight="1">
      <x:c r="A108" s="10" t="str">
        <x:v>EVT-103</x:v>
      </x:c>
      <x:c r="B108" s="10" t="str">
        <x:v>DOS-FICT-023</x:v>
      </x:c>
      <x:c r="C108" s="10" t="str">
        <x:v>Paiement préparé</x:v>
      </x:c>
      <x:c r="D108" s="22" t="n">
        <x:v>46238.5625</x:v>
      </x:c>
      <x:c r="E108" s="10" t="str">
        <x:v>ACT-012</x:v>
      </x:c>
      <x:c r="F108" s="10" t="str">
        <x:v>Humain</x:v>
      </x:c>
      <x:c r="G108" s="10" t="str">
        <x:v>Demande de paiement préparée</x:v>
      </x:c>
      <x:c r="H108" s="10" t="str">
        <x:v>SRC-103</x:v>
      </x:c>
      <x:c r="I108" s="10" t="str">
        <x:v>SYNTHETIQUE</x:v>
      </x:c>
    </x:row>
    <x:row r="109" ht="28" customHeight="1">
      <x:c r="A109" s="11" t="str">
        <x:v>EVT-104</x:v>
      </x:c>
      <x:c r="B109" s="11" t="str">
        <x:v>DOS-FICT-024</x:v>
      </x:c>
      <x:c r="C109" s="11" t="str">
        <x:v>Déclaration reçue</x:v>
      </x:c>
      <x:c r="D109" s="23" t="n">
        <x:v>46239.333333333336</x:v>
      </x:c>
      <x:c r="E109" s="11" t="str">
        <x:v>ACT-011</x:v>
      </x:c>
      <x:c r="F109" s="11" t="str">
        <x:v>Humain</x:v>
      </x:c>
      <x:c r="G109" s="11" t="str">
        <x:v>Terminé</x:v>
      </x:c>
      <x:c r="H109" s="11" t="str">
        <x:v>SRC-103</x:v>
      </x:c>
      <x:c r="I109" s="11" t="str">
        <x:v>SYNTHETIQUE</x:v>
      </x:c>
    </x:row>
    <x:row r="110" ht="28" customHeight="1">
      <x:c r="A110" s="10" t="str">
        <x:v>EVT-105</x:v>
      </x:c>
      <x:c r="B110" s="10" t="str">
        <x:v>DOS-FICT-024</x:v>
      </x:c>
      <x:c r="C110" s="10" t="str">
        <x:v>Pièces contrôlées</x:v>
      </x:c>
      <x:c r="D110" s="22" t="n">
        <x:v>46239.541666666664</x:v>
      </x:c>
      <x:c r="E110" s="10" t="str">
        <x:v>ACT-011</x:v>
      </x:c>
      <x:c r="F110" s="10" t="str">
        <x:v>Humain</x:v>
      </x:c>
      <x:c r="G110" s="10" t="str">
        <x:v>Terminé</x:v>
      </x:c>
      <x:c r="H110" s="10" t="str">
        <x:v>SRC-103</x:v>
      </x:c>
      <x:c r="I110" s="10" t="str">
        <x:v>SYNTHETIQUE</x:v>
      </x:c>
    </x:row>
    <x:row r="111" ht="28" customHeight="1">
      <x:c r="A111" s="11" t="str">
        <x:v>EVT-106</x:v>
      </x:c>
      <x:c r="B111" s="11" t="str">
        <x:v>DOS-FICT-024</x:v>
      </x:c>
      <x:c r="C111" s="11" t="str">
        <x:v>Synthèse préparée</x:v>
      </x:c>
      <x:c r="D111" s="23" t="n">
        <x:v>46239.5625</x:v>
      </x:c>
      <x:c r="E111" s="11" t="str">
        <x:v>ACT-011</x:v>
      </x:c>
      <x:c r="F111" s="11" t="str">
        <x:v>AI-001</x:v>
      </x:c>
      <x:c r="G111" s="11" t="str">
        <x:v>Terminé</x:v>
      </x:c>
      <x:c r="H111" s="11" t="str">
        <x:v>SRC-103</x:v>
      </x:c>
      <x:c r="I111" s="11" t="str">
        <x:v>SYNTHETIQUE</x:v>
      </x:c>
    </x:row>
    <x:row r="112" ht="28" customHeight="1">
      <x:c r="A112" s="10" t="str">
        <x:v>EVT-107</x:v>
      </x:c>
      <x:c r="B112" s="10" t="str">
        <x:v>DOS-FICT-024</x:v>
      </x:c>
      <x:c r="C112" s="10" t="str">
        <x:v>Décision validée</x:v>
      </x:c>
      <x:c r="D112" s="22" t="n">
        <x:v>46239.583333333336</x:v>
      </x:c>
      <x:c r="E112" s="10" t="str">
        <x:v>ACT-012</x:v>
      </x:c>
      <x:c r="F112" s="10" t="str">
        <x:v>Humain</x:v>
      </x:c>
      <x:c r="G112" s="10" t="str">
        <x:v>Terminé</x:v>
      </x:c>
      <x:c r="H112" s="10" t="str">
        <x:v>SRC-103</x:v>
      </x:c>
      <x:c r="I112" s="10" t="str">
        <x:v>SYNTHETIQUE</x:v>
      </x:c>
    </x:row>
    <x:row r="113" ht="28" customHeight="1">
      <x:c r="A113" s="11" t="str">
        <x:v>EVT-108</x:v>
      </x:c>
      <x:c r="B113" s="11" t="str">
        <x:v>DOS-FICT-024</x:v>
      </x:c>
      <x:c r="C113" s="11" t="str">
        <x:v>Paiement préparé</x:v>
      </x:c>
      <x:c r="D113" s="23" t="n">
        <x:v>46239.604166666664</x:v>
      </x:c>
      <x:c r="E113" s="11" t="str">
        <x:v>ACT-012</x:v>
      </x:c>
      <x:c r="F113" s="11" t="str">
        <x:v>Humain</x:v>
      </x:c>
      <x:c r="G113" s="11" t="str">
        <x:v>Demande de paiement préparée</x:v>
      </x:c>
      <x:c r="H113" s="11" t="str">
        <x:v>SRC-103</x:v>
      </x:c>
      <x:c r="I113" s="11" t="str">
        <x:v>SYNTHETIQUE</x:v>
      </x:c>
    </x:row>
    <x:row r="114" ht="28" customHeight="1">
      <x:c r="A114" s="10" t="str">
        <x:v>EVT-109</x:v>
      </x:c>
      <x:c r="B114" s="10" t="str">
        <x:v>DOS-FICT-025</x:v>
      </x:c>
      <x:c r="C114" s="10" t="str">
        <x:v>Déclaration reçue</x:v>
      </x:c>
      <x:c r="D114" s="22" t="n">
        <x:v>46240.333333333336</x:v>
      </x:c>
      <x:c r="E114" s="10" t="str">
        <x:v>ACT-011</x:v>
      </x:c>
      <x:c r="F114" s="10" t="str">
        <x:v>Humain</x:v>
      </x:c>
      <x:c r="G114" s="10" t="str">
        <x:v>Terminé</x:v>
      </x:c>
      <x:c r="H114" s="10" t="str">
        <x:v>SRC-103</x:v>
      </x:c>
      <x:c r="I114" s="10" t="str">
        <x:v>SYNTHETIQUE</x:v>
      </x:c>
    </x:row>
    <x:row r="115" ht="28" customHeight="1">
      <x:c r="A115" s="11" t="str">
        <x:v>EVT-110</x:v>
      </x:c>
      <x:c r="B115" s="11" t="str">
        <x:v>DOS-FICT-025</x:v>
      </x:c>
      <x:c r="C115" s="11" t="str">
        <x:v>Pièces contrôlées</x:v>
      </x:c>
      <x:c r="D115" s="23" t="n">
        <x:v>46240.375</x:v>
      </x:c>
      <x:c r="E115" s="11" t="str">
        <x:v>ACT-011</x:v>
      </x:c>
      <x:c r="F115" s="11" t="str">
        <x:v>Humain</x:v>
      </x:c>
      <x:c r="G115" s="11" t="str">
        <x:v>Terminé</x:v>
      </x:c>
      <x:c r="H115" s="11" t="str">
        <x:v>SRC-103</x:v>
      </x:c>
      <x:c r="I115" s="11" t="str">
        <x:v>SYNTHETIQUE</x:v>
      </x:c>
    </x:row>
    <x:row r="116" ht="28" customHeight="1">
      <x:c r="A116" s="10" t="str">
        <x:v>EVT-111</x:v>
      </x:c>
      <x:c r="B116" s="10" t="str">
        <x:v>DOS-FICT-025</x:v>
      </x:c>
      <x:c r="C116" s="10" t="str">
        <x:v>Synthèse préparée</x:v>
      </x:c>
      <x:c r="D116" s="22" t="n">
        <x:v>46240.395833333336</x:v>
      </x:c>
      <x:c r="E116" s="10" t="str">
        <x:v>ACT-011</x:v>
      </x:c>
      <x:c r="F116" s="10" t="str">
        <x:v>AI-001</x:v>
      </x:c>
      <x:c r="G116" s="10" t="str">
        <x:v>Terminé</x:v>
      </x:c>
      <x:c r="H116" s="10" t="str">
        <x:v>SRC-103</x:v>
      </x:c>
      <x:c r="I116" s="10" t="str">
        <x:v>SYNTHETIQUE</x:v>
      </x:c>
    </x:row>
    <x:row r="117" ht="28" customHeight="1">
      <x:c r="A117" s="11" t="str">
        <x:v>EVT-112</x:v>
      </x:c>
      <x:c r="B117" s="11" t="str">
        <x:v>DOS-FICT-025</x:v>
      </x:c>
      <x:c r="C117" s="11" t="str">
        <x:v>Décision validée</x:v>
      </x:c>
      <x:c r="D117" s="23" t="n">
        <x:v>46240.416666666664</x:v>
      </x:c>
      <x:c r="E117" s="11" t="str">
        <x:v>ACT-012</x:v>
      </x:c>
      <x:c r="F117" s="11" t="str">
        <x:v>Humain</x:v>
      </x:c>
      <x:c r="G117" s="11" t="str">
        <x:v>Terminé</x:v>
      </x:c>
      <x:c r="H117" s="11" t="str">
        <x:v>SRC-103</x:v>
      </x:c>
      <x:c r="I117" s="11" t="str">
        <x:v>SYNTHETIQUE</x:v>
      </x:c>
    </x:row>
    <x:row r="118" ht="28" customHeight="1">
      <x:c r="A118" s="10" t="str">
        <x:v>EVT-113</x:v>
      </x:c>
      <x:c r="B118" s="10" t="str">
        <x:v>DOS-FICT-025</x:v>
      </x:c>
      <x:c r="C118" s="10" t="str">
        <x:v>Paiement préparé</x:v>
      </x:c>
      <x:c r="D118" s="22" t="n">
        <x:v>46240.4375</x:v>
      </x:c>
      <x:c r="E118" s="10" t="str">
        <x:v>ACT-012</x:v>
      </x:c>
      <x:c r="F118" s="10" t="str">
        <x:v>Humain</x:v>
      </x:c>
      <x:c r="G118" s="10" t="str">
        <x:v>Demande de paiement préparée</x:v>
      </x:c>
      <x:c r="H118" s="10" t="str">
        <x:v>SRC-103</x:v>
      </x:c>
      <x:c r="I118" s="10" t="str">
        <x:v>SYNTHETIQUE</x:v>
      </x:c>
    </x:row>
    <x:row r="119" ht="28" customHeight="1">
      <x:c r="A119" s="11" t="str">
        <x:v>EVT-114</x:v>
      </x:c>
      <x:c r="B119" s="11" t="str">
        <x:v>DOS-FICT-026</x:v>
      </x:c>
      <x:c r="C119" s="11" t="str">
        <x:v>Déclaration reçue</x:v>
      </x:c>
      <x:c r="D119" s="23" t="n">
        <x:v>46241.333333333336</x:v>
      </x:c>
      <x:c r="E119" s="11" t="str">
        <x:v>ACT-011</x:v>
      </x:c>
      <x:c r="F119" s="11" t="str">
        <x:v>Humain</x:v>
      </x:c>
      <x:c r="G119" s="11" t="str">
        <x:v>Terminé</x:v>
      </x:c>
      <x:c r="H119" s="11" t="str">
        <x:v>SRC-103</x:v>
      </x:c>
      <x:c r="I119" s="11" t="str">
        <x:v>SYNTHETIQUE</x:v>
      </x:c>
    </x:row>
    <x:row r="120" ht="28" customHeight="1">
      <x:c r="A120" s="10" t="str">
        <x:v>EVT-115</x:v>
      </x:c>
      <x:c r="B120" s="10" t="str">
        <x:v>DOS-FICT-026</x:v>
      </x:c>
      <x:c r="C120" s="10" t="str">
        <x:v>Pièces contrôlées</x:v>
      </x:c>
      <x:c r="D120" s="22" t="n">
        <x:v>46241.416666666664</x:v>
      </x:c>
      <x:c r="E120" s="10" t="str">
        <x:v>ACT-011</x:v>
      </x:c>
      <x:c r="F120" s="10" t="str">
        <x:v>Humain</x:v>
      </x:c>
      <x:c r="G120" s="10" t="str">
        <x:v>Terminé</x:v>
      </x:c>
      <x:c r="H120" s="10" t="str">
        <x:v>SRC-103</x:v>
      </x:c>
      <x:c r="I120" s="10" t="str">
        <x:v>SYNTHETIQUE</x:v>
      </x:c>
    </x:row>
    <x:row r="121" ht="28" customHeight="1">
      <x:c r="A121" s="11" t="str">
        <x:v>EVT-116</x:v>
      </x:c>
      <x:c r="B121" s="11" t="str">
        <x:v>DOS-FICT-026</x:v>
      </x:c>
      <x:c r="C121" s="11" t="str">
        <x:v>Synthèse préparée</x:v>
      </x:c>
      <x:c r="D121" s="23" t="n">
        <x:v>46241.4375</x:v>
      </x:c>
      <x:c r="E121" s="11" t="str">
        <x:v>ACT-011</x:v>
      </x:c>
      <x:c r="F121" s="11" t="str">
        <x:v>AI-001</x:v>
      </x:c>
      <x:c r="G121" s="11" t="str">
        <x:v>Terminé</x:v>
      </x:c>
      <x:c r="H121" s="11" t="str">
        <x:v>SRC-103</x:v>
      </x:c>
      <x:c r="I121" s="11" t="str">
        <x:v>SYNTHETIQUE</x:v>
      </x:c>
    </x:row>
    <x:row r="122" ht="28" customHeight="1">
      <x:c r="A122" s="10" t="str">
        <x:v>EVT-117</x:v>
      </x:c>
      <x:c r="B122" s="10" t="str">
        <x:v>DOS-FICT-026</x:v>
      </x:c>
      <x:c r="C122" s="10" t="str">
        <x:v>Décision validée</x:v>
      </x:c>
      <x:c r="D122" s="22" t="n">
        <x:v>46241.458333333336</x:v>
      </x:c>
      <x:c r="E122" s="10" t="str">
        <x:v>ACT-012</x:v>
      </x:c>
      <x:c r="F122" s="10" t="str">
        <x:v>Humain</x:v>
      </x:c>
      <x:c r="G122" s="10" t="str">
        <x:v>Terminé</x:v>
      </x:c>
      <x:c r="H122" s="10" t="str">
        <x:v>SRC-103</x:v>
      </x:c>
      <x:c r="I122" s="10" t="str">
        <x:v>SYNTHETIQUE</x:v>
      </x:c>
    </x:row>
    <x:row r="123" ht="28" customHeight="1">
      <x:c r="A123" s="11" t="str">
        <x:v>EVT-118</x:v>
      </x:c>
      <x:c r="B123" s="11" t="str">
        <x:v>DOS-FICT-026</x:v>
      </x:c>
      <x:c r="C123" s="11" t="str">
        <x:v>Paiement préparé</x:v>
      </x:c>
      <x:c r="D123" s="23" t="n">
        <x:v>46241.479166666664</x:v>
      </x:c>
      <x:c r="E123" s="11" t="str">
        <x:v>ACT-012</x:v>
      </x:c>
      <x:c r="F123" s="11" t="str">
        <x:v>Humain</x:v>
      </x:c>
      <x:c r="G123" s="11" t="str">
        <x:v>Demande de paiement préparée</x:v>
      </x:c>
      <x:c r="H123" s="11" t="str">
        <x:v>SRC-103</x:v>
      </x:c>
      <x:c r="I123" s="11" t="str">
        <x:v>SYNTHETIQUE</x:v>
      </x:c>
    </x:row>
    <x:row r="124" ht="28" customHeight="1">
      <x:c r="A124" s="10" t="str">
        <x:v>EVT-119</x:v>
      </x:c>
      <x:c r="B124" s="10" t="str">
        <x:v>DOS-FICT-027</x:v>
      </x:c>
      <x:c r="C124" s="10" t="str">
        <x:v>Déclaration reçue</x:v>
      </x:c>
      <x:c r="D124" s="22" t="n">
        <x:v>46242.333333333336</x:v>
      </x:c>
      <x:c r="E124" s="10" t="str">
        <x:v>ACT-011</x:v>
      </x:c>
      <x:c r="F124" s="10" t="str">
        <x:v>Humain</x:v>
      </x:c>
      <x:c r="G124" s="10" t="str">
        <x:v>Terminé</x:v>
      </x:c>
      <x:c r="H124" s="10" t="str">
        <x:v>SRC-103</x:v>
      </x:c>
      <x:c r="I124" s="10" t="str">
        <x:v>SYNTHETIQUE</x:v>
      </x:c>
    </x:row>
    <x:row r="125" ht="28" customHeight="1">
      <x:c r="A125" s="11" t="str">
        <x:v>EVT-120</x:v>
      </x:c>
      <x:c r="B125" s="11" t="str">
        <x:v>DOS-FICT-027</x:v>
      </x:c>
      <x:c r="C125" s="11" t="str">
        <x:v>Pièces contrôlées</x:v>
      </x:c>
      <x:c r="D125" s="23" t="n">
        <x:v>46242.458333333336</x:v>
      </x:c>
      <x:c r="E125" s="11" t="str">
        <x:v>ACT-011</x:v>
      </x:c>
      <x:c r="F125" s="11" t="str">
        <x:v>Humain</x:v>
      </x:c>
      <x:c r="G125" s="11" t="str">
        <x:v>Terminé</x:v>
      </x:c>
      <x:c r="H125" s="11" t="str">
        <x:v>SRC-103</x:v>
      </x:c>
      <x:c r="I125" s="11" t="str">
        <x:v>SYNTHETIQUE</x:v>
      </x:c>
    </x:row>
    <x:row r="126" ht="28" customHeight="1">
      <x:c r="A126" s="10" t="str">
        <x:v>EVT-121</x:v>
      </x:c>
      <x:c r="B126" s="10" t="str">
        <x:v>DOS-FICT-027</x:v>
      </x:c>
      <x:c r="C126" s="10" t="str">
        <x:v>Synthèse préparée</x:v>
      </x:c>
      <x:c r="D126" s="22" t="n">
        <x:v>46242.479166666664</x:v>
      </x:c>
      <x:c r="E126" s="10" t="str">
        <x:v>ACT-011</x:v>
      </x:c>
      <x:c r="F126" s="10" t="str">
        <x:v>AI-001</x:v>
      </x:c>
      <x:c r="G126" s="10" t="str">
        <x:v>Terminé</x:v>
      </x:c>
      <x:c r="H126" s="10" t="str">
        <x:v>SRC-103</x:v>
      </x:c>
      <x:c r="I126" s="10" t="str">
        <x:v>SYNTHETIQUE</x:v>
      </x:c>
    </x:row>
    <x:row r="127" ht="28" customHeight="1">
      <x:c r="A127" s="11" t="str">
        <x:v>EVT-122</x:v>
      </x:c>
      <x:c r="B127" s="11" t="str">
        <x:v>DOS-FICT-027</x:v>
      </x:c>
      <x:c r="C127" s="11" t="str">
        <x:v>Décision validée</x:v>
      </x:c>
      <x:c r="D127" s="23" t="n">
        <x:v>46242.5</x:v>
      </x:c>
      <x:c r="E127" s="11" t="str">
        <x:v>ACT-012</x:v>
      </x:c>
      <x:c r="F127" s="11" t="str">
        <x:v>Humain</x:v>
      </x:c>
      <x:c r="G127" s="11" t="str">
        <x:v>Terminé</x:v>
      </x:c>
      <x:c r="H127" s="11" t="str">
        <x:v>SRC-103</x:v>
      </x:c>
      <x:c r="I127" s="11" t="str">
        <x:v>SYNTHETIQUE</x:v>
      </x:c>
    </x:row>
    <x:row r="128" ht="28" customHeight="1">
      <x:c r="A128" s="10" t="str">
        <x:v>EVT-123</x:v>
      </x:c>
      <x:c r="B128" s="10" t="str">
        <x:v>DOS-FICT-027</x:v>
      </x:c>
      <x:c r="C128" s="10" t="str">
        <x:v>Paiement préparé</x:v>
      </x:c>
      <x:c r="D128" s="22" t="n">
        <x:v>46242.520833333336</x:v>
      </x:c>
      <x:c r="E128" s="10" t="str">
        <x:v>ACT-012</x:v>
      </x:c>
      <x:c r="F128" s="10" t="str">
        <x:v>Humain</x:v>
      </x:c>
      <x:c r="G128" s="10" t="str">
        <x:v>Demande de paiement préparée</x:v>
      </x:c>
      <x:c r="H128" s="10" t="str">
        <x:v>SRC-103</x:v>
      </x:c>
      <x:c r="I128" s="10" t="str">
        <x:v>SYNTHETIQUE</x:v>
      </x:c>
    </x:row>
    <x:row r="129" ht="28" customHeight="1">
      <x:c r="A129" s="11" t="str">
        <x:v>EVT-124</x:v>
      </x:c>
      <x:c r="B129" s="11" t="str">
        <x:v>DOS-FICT-028</x:v>
      </x:c>
      <x:c r="C129" s="11" t="str">
        <x:v>Déclaration reçue</x:v>
      </x:c>
      <x:c r="D129" s="23" t="n">
        <x:v>46243.333333333336</x:v>
      </x:c>
      <x:c r="E129" s="11" t="str">
        <x:v>ACT-011</x:v>
      </x:c>
      <x:c r="F129" s="11" t="str">
        <x:v>Humain</x:v>
      </x:c>
      <x:c r="G129" s="11" t="str">
        <x:v>Terminé</x:v>
      </x:c>
      <x:c r="H129" s="11" t="str">
        <x:v>SRC-103</x:v>
      </x:c>
      <x:c r="I129" s="11" t="str">
        <x:v>SYNTHETIQUE</x:v>
      </x:c>
    </x:row>
    <x:row r="130" ht="28" customHeight="1">
      <x:c r="A130" s="10" t="str">
        <x:v>EVT-125</x:v>
      </x:c>
      <x:c r="B130" s="10" t="str">
        <x:v>DOS-FICT-028</x:v>
      </x:c>
      <x:c r="C130" s="10" t="str">
        <x:v>Pièces contrôlées</x:v>
      </x:c>
      <x:c r="D130" s="22" t="n">
        <x:v>46243.5</x:v>
      </x:c>
      <x:c r="E130" s="10" t="str">
        <x:v>ACT-011</x:v>
      </x:c>
      <x:c r="F130" s="10" t="str">
        <x:v>Humain</x:v>
      </x:c>
      <x:c r="G130" s="10" t="str">
        <x:v>Terminé</x:v>
      </x:c>
      <x:c r="H130" s="10" t="str">
        <x:v>SRC-103</x:v>
      </x:c>
      <x:c r="I130" s="10" t="str">
        <x:v>SYNTHETIQUE</x:v>
      </x:c>
    </x:row>
    <x:row r="131" ht="28" customHeight="1">
      <x:c r="A131" s="11" t="str">
        <x:v>EVT-126</x:v>
      </x:c>
      <x:c r="B131" s="11" t="str">
        <x:v>DOS-FICT-028</x:v>
      </x:c>
      <x:c r="C131" s="11" t="str">
        <x:v>Synthèse préparée</x:v>
      </x:c>
      <x:c r="D131" s="23" t="n">
        <x:v>46243.520833333336</x:v>
      </x:c>
      <x:c r="E131" s="11" t="str">
        <x:v>ACT-011</x:v>
      </x:c>
      <x:c r="F131" s="11" t="str">
        <x:v>AI-001</x:v>
      </x:c>
      <x:c r="G131" s="11" t="str">
        <x:v>Terminé</x:v>
      </x:c>
      <x:c r="H131" s="11" t="str">
        <x:v>SRC-103</x:v>
      </x:c>
      <x:c r="I131" s="11" t="str">
        <x:v>SYNTHETIQUE</x:v>
      </x:c>
    </x:row>
    <x:row r="132" ht="28" customHeight="1">
      <x:c r="A132" s="10" t="str">
        <x:v>EVT-127</x:v>
      </x:c>
      <x:c r="B132" s="10" t="str">
        <x:v>DOS-FICT-028</x:v>
      </x:c>
      <x:c r="C132" s="10" t="str">
        <x:v>Décision validée</x:v>
      </x:c>
      <x:c r="D132" s="22" t="n">
        <x:v>46243.541666666664</x:v>
      </x:c>
      <x:c r="E132" s="10" t="str">
        <x:v>ACT-012</x:v>
      </x:c>
      <x:c r="F132" s="10" t="str">
        <x:v>Humain</x:v>
      </x:c>
      <x:c r="G132" s="10" t="str">
        <x:v>Terminé</x:v>
      </x:c>
      <x:c r="H132" s="10" t="str">
        <x:v>SRC-103</x:v>
      </x:c>
      <x:c r="I132" s="10" t="str">
        <x:v>SYNTHETIQUE</x:v>
      </x:c>
    </x:row>
    <x:row r="133" ht="28" customHeight="1">
      <x:c r="A133" s="11" t="str">
        <x:v>EVT-128</x:v>
      </x:c>
      <x:c r="B133" s="11" t="str">
        <x:v>DOS-FICT-028</x:v>
      </x:c>
      <x:c r="C133" s="11" t="str">
        <x:v>Paiement préparé</x:v>
      </x:c>
      <x:c r="D133" s="23" t="n">
        <x:v>46243.5625</x:v>
      </x:c>
      <x:c r="E133" s="11" t="str">
        <x:v>ACT-012</x:v>
      </x:c>
      <x:c r="F133" s="11" t="str">
        <x:v>Humain</x:v>
      </x:c>
      <x:c r="G133" s="11" t="str">
        <x:v>Demande de paiement préparée</x:v>
      </x:c>
      <x:c r="H133" s="11" t="str">
        <x:v>SRC-103</x:v>
      </x:c>
      <x:c r="I133" s="11" t="str">
        <x:v>SYNTHETIQUE</x:v>
      </x:c>
    </x:row>
    <x:row r="134" ht="28" customHeight="1">
      <x:c r="A134" s="10" t="str">
        <x:v>EVT-129</x:v>
      </x:c>
      <x:c r="B134" s="10" t="str">
        <x:v>DOS-FICT-029</x:v>
      </x:c>
      <x:c r="C134" s="10" t="str">
        <x:v>Déclaration reçue</x:v>
      </x:c>
      <x:c r="D134" s="22" t="n">
        <x:v>46244.333333333336</x:v>
      </x:c>
      <x:c r="E134" s="10" t="str">
        <x:v>ACT-011</x:v>
      </x:c>
      <x:c r="F134" s="10" t="str">
        <x:v>Humain</x:v>
      </x:c>
      <x:c r="G134" s="10" t="str">
        <x:v>Terminé</x:v>
      </x:c>
      <x:c r="H134" s="10" t="str">
        <x:v>SRC-103</x:v>
      </x:c>
      <x:c r="I134" s="10" t="str">
        <x:v>SYNTHETIQUE</x:v>
      </x:c>
    </x:row>
    <x:row r="135" ht="28" customHeight="1">
      <x:c r="A135" s="11" t="str">
        <x:v>EVT-130</x:v>
      </x:c>
      <x:c r="B135" s="11" t="str">
        <x:v>DOS-FICT-029</x:v>
      </x:c>
      <x:c r="C135" s="11" t="str">
        <x:v>Pièces contrôlées</x:v>
      </x:c>
      <x:c r="D135" s="23" t="n">
        <x:v>46244.541666666664</x:v>
      </x:c>
      <x:c r="E135" s="11" t="str">
        <x:v>ACT-011</x:v>
      </x:c>
      <x:c r="F135" s="11" t="str">
        <x:v>Humain</x:v>
      </x:c>
      <x:c r="G135" s="11" t="str">
        <x:v>Terminé</x:v>
      </x:c>
      <x:c r="H135" s="11" t="str">
        <x:v>SRC-103</x:v>
      </x:c>
      <x:c r="I135" s="11" t="str">
        <x:v>SYNTHETIQUE</x:v>
      </x:c>
    </x:row>
    <x:row r="136" ht="28" customHeight="1">
      <x:c r="A136" s="10" t="str">
        <x:v>EVT-131</x:v>
      </x:c>
      <x:c r="B136" s="10" t="str">
        <x:v>DOS-FICT-029</x:v>
      </x:c>
      <x:c r="C136" s="10" t="str">
        <x:v>Synthèse préparée</x:v>
      </x:c>
      <x:c r="D136" s="22" t="n">
        <x:v>46244.5625</x:v>
      </x:c>
      <x:c r="E136" s="10" t="str">
        <x:v>ACT-011</x:v>
      </x:c>
      <x:c r="F136" s="10" t="str">
        <x:v>AI-001</x:v>
      </x:c>
      <x:c r="G136" s="10" t="str">
        <x:v>Terminé</x:v>
      </x:c>
      <x:c r="H136" s="10" t="str">
        <x:v>SRC-103</x:v>
      </x:c>
      <x:c r="I136" s="10" t="str">
        <x:v>SYNTHETIQUE</x:v>
      </x:c>
    </x:row>
    <x:row r="137" ht="28" customHeight="1">
      <x:c r="A137" s="11" t="str">
        <x:v>EVT-132</x:v>
      </x:c>
      <x:c r="B137" s="11" t="str">
        <x:v>DOS-FICT-029</x:v>
      </x:c>
      <x:c r="C137" s="11" t="str">
        <x:v>Décision validée</x:v>
      </x:c>
      <x:c r="D137" s="23" t="n">
        <x:v>46244.583333333336</x:v>
      </x:c>
      <x:c r="E137" s="11" t="str">
        <x:v>ACT-012</x:v>
      </x:c>
      <x:c r="F137" s="11" t="str">
        <x:v>Humain</x:v>
      </x:c>
      <x:c r="G137" s="11" t="str">
        <x:v>Terminé</x:v>
      </x:c>
      <x:c r="H137" s="11" t="str">
        <x:v>SRC-103</x:v>
      </x:c>
      <x:c r="I137" s="11" t="str">
        <x:v>SYNTHETIQUE</x:v>
      </x:c>
    </x:row>
    <x:row r="138" ht="28" customHeight="1">
      <x:c r="A138" s="10" t="str">
        <x:v>EVT-133</x:v>
      </x:c>
      <x:c r="B138" s="10" t="str">
        <x:v>DOS-FICT-029</x:v>
      </x:c>
      <x:c r="C138" s="10" t="str">
        <x:v>Paiement préparé</x:v>
      </x:c>
      <x:c r="D138" s="22" t="n">
        <x:v>46244.604166666664</x:v>
      </x:c>
      <x:c r="E138" s="10" t="str">
        <x:v>ACT-012</x:v>
      </x:c>
      <x:c r="F138" s="10" t="str">
        <x:v>Humain</x:v>
      </x:c>
      <x:c r="G138" s="10" t="str">
        <x:v>Demande de paiement préparée</x:v>
      </x:c>
      <x:c r="H138" s="10" t="str">
        <x:v>SRC-103</x:v>
      </x:c>
      <x:c r="I138" s="10" t="str">
        <x:v>SYNTHETIQUE</x:v>
      </x:c>
    </x:row>
    <x:row r="139" ht="28" customHeight="1">
      <x:c r="A139" s="11" t="str">
        <x:v>EVT-134</x:v>
      </x:c>
      <x:c r="B139" s="11" t="str">
        <x:v>DOS-FICT-030</x:v>
      </x:c>
      <x:c r="C139" s="11" t="str">
        <x:v>Déclaration reçue</x:v>
      </x:c>
      <x:c r="D139" s="23" t="n">
        <x:v>46245.333333333336</x:v>
      </x:c>
      <x:c r="E139" s="11" t="str">
        <x:v>ACT-011</x:v>
      </x:c>
      <x:c r="F139" s="11" t="str">
        <x:v>Humain</x:v>
      </x:c>
      <x:c r="G139" s="11" t="str">
        <x:v>Terminé</x:v>
      </x:c>
      <x:c r="H139" s="11" t="str">
        <x:v>SRC-103</x:v>
      </x:c>
      <x:c r="I139" s="11" t="str">
        <x:v>SYNTHETIQUE</x:v>
      </x:c>
    </x:row>
    <x:row r="140" ht="28" customHeight="1">
      <x:c r="A140" s="10" t="str">
        <x:v>EVT-135</x:v>
      </x:c>
      <x:c r="B140" s="10" t="str">
        <x:v>DOS-FICT-030</x:v>
      </x:c>
      <x:c r="C140" s="10" t="str">
        <x:v>Pièces contrôlées</x:v>
      </x:c>
      <x:c r="D140" s="22" t="n">
        <x:v>46245.375</x:v>
      </x:c>
      <x:c r="E140" s="10" t="str">
        <x:v>ACT-011</x:v>
      </x:c>
      <x:c r="F140" s="10" t="str">
        <x:v>Humain</x:v>
      </x:c>
      <x:c r="G140" s="10" t="str">
        <x:v>Terminé</x:v>
      </x:c>
      <x:c r="H140" s="10" t="str">
        <x:v>SRC-103</x:v>
      </x:c>
      <x:c r="I140" s="10" t="str">
        <x:v>SYNTHETIQUE</x:v>
      </x:c>
    </x:row>
    <x:row r="141" ht="28" customHeight="1">
      <x:c r="A141" s="11" t="str">
        <x:v>EVT-136</x:v>
      </x:c>
      <x:c r="B141" s="11" t="str">
        <x:v>DOS-FICT-030</x:v>
      </x:c>
      <x:c r="C141" s="11" t="str">
        <x:v>Synthèse préparée</x:v>
      </x:c>
      <x:c r="D141" s="23" t="n">
        <x:v>46245.395833333336</x:v>
      </x:c>
      <x:c r="E141" s="11" t="str">
        <x:v>ACT-011</x:v>
      </x:c>
      <x:c r="F141" s="11" t="str">
        <x:v>AI-001</x:v>
      </x:c>
      <x:c r="G141" s="11" t="str">
        <x:v>Terminé</x:v>
      </x:c>
      <x:c r="H141" s="11" t="str">
        <x:v>SRC-103</x:v>
      </x:c>
      <x:c r="I141" s="11" t="str">
        <x:v>SYNTHETIQUE</x:v>
      </x:c>
    </x:row>
    <x:row r="142" ht="28" customHeight="1">
      <x:c r="A142" s="10" t="str">
        <x:v>EVT-137</x:v>
      </x:c>
      <x:c r="B142" s="10" t="str">
        <x:v>DOS-FICT-030</x:v>
      </x:c>
      <x:c r="C142" s="10" t="str">
        <x:v>Décision validée</x:v>
      </x:c>
      <x:c r="D142" s="22" t="n">
        <x:v>46245.416666666664</x:v>
      </x:c>
      <x:c r="E142" s="10" t="str">
        <x:v>ACT-012</x:v>
      </x:c>
      <x:c r="F142" s="10" t="str">
        <x:v>Humain</x:v>
      </x:c>
      <x:c r="G142" s="10" t="str">
        <x:v>Terminé</x:v>
      </x:c>
      <x:c r="H142" s="10" t="str">
        <x:v>SRC-103</x:v>
      </x:c>
      <x:c r="I142" s="10" t="str">
        <x:v>SYNTHETIQUE</x:v>
      </x:c>
    </x:row>
    <x:row r="143" ht="28" customHeight="1">
      <x:c r="A143" s="11" t="str">
        <x:v>EVT-138</x:v>
      </x:c>
      <x:c r="B143" s="11" t="str">
        <x:v>DOS-FICT-030</x:v>
      </x:c>
      <x:c r="C143" s="11" t="str">
        <x:v>Paiement préparé</x:v>
      </x:c>
      <x:c r="D143" s="23" t="n">
        <x:v>46245.4375</x:v>
      </x:c>
      <x:c r="E143" s="11" t="str">
        <x:v>ACT-012</x:v>
      </x:c>
      <x:c r="F143" s="11" t="str">
        <x:v>Humain</x:v>
      </x:c>
      <x:c r="G143" s="11" t="str">
        <x:v>Demande de paiement préparée</x:v>
      </x:c>
      <x:c r="H143" s="11" t="str">
        <x:v>SRC-103</x:v>
      </x:c>
      <x:c r="I143" s="11" t="str">
        <x:v>SYNTHETIQUE</x:v>
      </x:c>
    </x:row>
    <x:row r="144" ht="28" customHeight="1">
      <x:c r="A144" s="10" t="str">
        <x:v>EVT-139</x:v>
      </x:c>
      <x:c r="B144" s="10" t="str">
        <x:v>DOS-FICT-031</x:v>
      </x:c>
      <x:c r="C144" s="10" t="str">
        <x:v>Déclaration reçue</x:v>
      </x:c>
      <x:c r="D144" s="22" t="n">
        <x:v>46246.333333333336</x:v>
      </x:c>
      <x:c r="E144" s="10" t="str">
        <x:v>ACT-011</x:v>
      </x:c>
      <x:c r="F144" s="10" t="str">
        <x:v>Humain</x:v>
      </x:c>
      <x:c r="G144" s="10" t="str">
        <x:v>Terminé</x:v>
      </x:c>
      <x:c r="H144" s="10" t="str">
        <x:v>SRC-103</x:v>
      </x:c>
      <x:c r="I144" s="10" t="str">
        <x:v>SYNTHETIQUE</x:v>
      </x:c>
    </x:row>
    <x:row r="145" ht="28" customHeight="1">
      <x:c r="A145" s="11" t="str">
        <x:v>EVT-140</x:v>
      </x:c>
      <x:c r="B145" s="11" t="str">
        <x:v>DOS-FICT-031</x:v>
      </x:c>
      <x:c r="C145" s="11" t="str">
        <x:v>Pièces contrôlées</x:v>
      </x:c>
      <x:c r="D145" s="23" t="n">
        <x:v>46246.416666666664</x:v>
      </x:c>
      <x:c r="E145" s="11" t="str">
        <x:v>ACT-011</x:v>
      </x:c>
      <x:c r="F145" s="11" t="str">
        <x:v>Humain</x:v>
      </x:c>
      <x:c r="G145" s="11" t="str">
        <x:v>Terminé</x:v>
      </x:c>
      <x:c r="H145" s="11" t="str">
        <x:v>SRC-103</x:v>
      </x:c>
      <x:c r="I145" s="11" t="str">
        <x:v>SYNTHETIQUE</x:v>
      </x:c>
    </x:row>
    <x:row r="146" ht="28" customHeight="1">
      <x:c r="A146" s="10" t="str">
        <x:v>EVT-141</x:v>
      </x:c>
      <x:c r="B146" s="10" t="str">
        <x:v>DOS-FICT-031</x:v>
      </x:c>
      <x:c r="C146" s="10" t="str">
        <x:v>Synthèse préparée</x:v>
      </x:c>
      <x:c r="D146" s="22" t="n">
        <x:v>46246.4375</x:v>
      </x:c>
      <x:c r="E146" s="10" t="str">
        <x:v>ACT-011</x:v>
      </x:c>
      <x:c r="F146" s="10" t="str">
        <x:v>AI-001</x:v>
      </x:c>
      <x:c r="G146" s="10" t="str">
        <x:v>Terminé</x:v>
      </x:c>
      <x:c r="H146" s="10" t="str">
        <x:v>SRC-103</x:v>
      </x:c>
      <x:c r="I146" s="10" t="str">
        <x:v>SYNTHETIQUE</x:v>
      </x:c>
    </x:row>
    <x:row r="147" ht="28" customHeight="1">
      <x:c r="A147" s="11" t="str">
        <x:v>EVT-142</x:v>
      </x:c>
      <x:c r="B147" s="11" t="str">
        <x:v>DOS-FICT-031</x:v>
      </x:c>
      <x:c r="C147" s="11" t="str">
        <x:v>Décision validée</x:v>
      </x:c>
      <x:c r="D147" s="23" t="n">
        <x:v>46246.458333333336</x:v>
      </x:c>
      <x:c r="E147" s="11" t="str">
        <x:v>ACT-012</x:v>
      </x:c>
      <x:c r="F147" s="11" t="str">
        <x:v>Humain</x:v>
      </x:c>
      <x:c r="G147" s="11" t="str">
        <x:v>Terminé</x:v>
      </x:c>
      <x:c r="H147" s="11" t="str">
        <x:v>SRC-103</x:v>
      </x:c>
      <x:c r="I147" s="11" t="str">
        <x:v>SYNTHETIQUE</x:v>
      </x:c>
    </x:row>
    <x:row r="148" ht="28" customHeight="1">
      <x:c r="A148" s="10" t="str">
        <x:v>EVT-143</x:v>
      </x:c>
      <x:c r="B148" s="10" t="str">
        <x:v>DOS-FICT-031</x:v>
      </x:c>
      <x:c r="C148" s="10" t="str">
        <x:v>Paiement préparé</x:v>
      </x:c>
      <x:c r="D148" s="22" t="n">
        <x:v>46246.479166666664</x:v>
      </x:c>
      <x:c r="E148" s="10" t="str">
        <x:v>ACT-012</x:v>
      </x:c>
      <x:c r="F148" s="10" t="str">
        <x:v>Humain</x:v>
      </x:c>
      <x:c r="G148" s="10" t="str">
        <x:v>Demande de paiement préparée</x:v>
      </x:c>
      <x:c r="H148" s="10" t="str">
        <x:v>SRC-103</x:v>
      </x:c>
      <x:c r="I148" s="10" t="str">
        <x:v>SYNTHETIQUE</x:v>
      </x:c>
    </x:row>
    <x:row r="149" ht="28" customHeight="1">
      <x:c r="A149" s="11" t="str">
        <x:v>EVT-144</x:v>
      </x:c>
      <x:c r="B149" s="11" t="str">
        <x:v>DOS-FICT-032</x:v>
      </x:c>
      <x:c r="C149" s="11" t="str">
        <x:v>Déclaration reçue</x:v>
      </x:c>
      <x:c r="D149" s="23" t="n">
        <x:v>46247.333333333336</x:v>
      </x:c>
      <x:c r="E149" s="11" t="str">
        <x:v>ACT-011</x:v>
      </x:c>
      <x:c r="F149" s="11" t="str">
        <x:v>Humain</x:v>
      </x:c>
      <x:c r="G149" s="11" t="str">
        <x:v>Terminé</x:v>
      </x:c>
      <x:c r="H149" s="11" t="str">
        <x:v>SRC-103</x:v>
      </x:c>
      <x:c r="I149" s="11" t="str">
        <x:v>SYNTHETIQUE</x:v>
      </x:c>
    </x:row>
    <x:row r="150" ht="28" customHeight="1">
      <x:c r="A150" s="10" t="str">
        <x:v>EVT-145</x:v>
      </x:c>
      <x:c r="B150" s="10" t="str">
        <x:v>DOS-FICT-032</x:v>
      </x:c>
      <x:c r="C150" s="10" t="str">
        <x:v>Pièces contrôlées</x:v>
      </x:c>
      <x:c r="D150" s="22" t="n">
        <x:v>46247.458333333336</x:v>
      </x:c>
      <x:c r="E150" s="10" t="str">
        <x:v>ACT-011</x:v>
      </x:c>
      <x:c r="F150" s="10" t="str">
        <x:v>Humain</x:v>
      </x:c>
      <x:c r="G150" s="10" t="str">
        <x:v>Terminé</x:v>
      </x:c>
      <x:c r="H150" s="10" t="str">
        <x:v>SRC-103</x:v>
      </x:c>
      <x:c r="I150" s="10" t="str">
        <x:v>SYNTHETIQUE</x:v>
      </x:c>
    </x:row>
    <x:row r="151" ht="28" customHeight="1">
      <x:c r="A151" s="11" t="str">
        <x:v>EVT-146</x:v>
      </x:c>
      <x:c r="B151" s="11" t="str">
        <x:v>DOS-FICT-032</x:v>
      </x:c>
      <x:c r="C151" s="11" t="str">
        <x:v>Synthèse préparée</x:v>
      </x:c>
      <x:c r="D151" s="23" t="n">
        <x:v>46247.479166666664</x:v>
      </x:c>
      <x:c r="E151" s="11" t="str">
        <x:v>ACT-011</x:v>
      </x:c>
      <x:c r="F151" s="11" t="str">
        <x:v>AI-001</x:v>
      </x:c>
      <x:c r="G151" s="11" t="str">
        <x:v>Terminé</x:v>
      </x:c>
      <x:c r="H151" s="11" t="str">
        <x:v>SRC-103</x:v>
      </x:c>
      <x:c r="I151" s="11" t="str">
        <x:v>SYNTHETIQUE</x:v>
      </x:c>
    </x:row>
    <x:row r="152" ht="28" customHeight="1">
      <x:c r="A152" s="10" t="str">
        <x:v>EVT-147</x:v>
      </x:c>
      <x:c r="B152" s="10" t="str">
        <x:v>DOS-FICT-032</x:v>
      </x:c>
      <x:c r="C152" s="10" t="str">
        <x:v>Décision validée</x:v>
      </x:c>
      <x:c r="D152" s="22" t="n">
        <x:v>46247.5</x:v>
      </x:c>
      <x:c r="E152" s="10" t="str">
        <x:v>ACT-012</x:v>
      </x:c>
      <x:c r="F152" s="10" t="str">
        <x:v>Humain</x:v>
      </x:c>
      <x:c r="G152" s="10" t="str">
        <x:v>Terminé</x:v>
      </x:c>
      <x:c r="H152" s="10" t="str">
        <x:v>SRC-103</x:v>
      </x:c>
      <x:c r="I152" s="10" t="str">
        <x:v>SYNTHETIQUE</x:v>
      </x:c>
    </x:row>
    <x:row r="153" ht="28" customHeight="1">
      <x:c r="A153" s="11" t="str">
        <x:v>EVT-148</x:v>
      </x:c>
      <x:c r="B153" s="11" t="str">
        <x:v>DOS-FICT-032</x:v>
      </x:c>
      <x:c r="C153" s="11" t="str">
        <x:v>Paiement préparé</x:v>
      </x:c>
      <x:c r="D153" s="23" t="n">
        <x:v>46247.520833333336</x:v>
      </x:c>
      <x:c r="E153" s="11" t="str">
        <x:v>ACT-012</x:v>
      </x:c>
      <x:c r="F153" s="11" t="str">
        <x:v>Humain</x:v>
      </x:c>
      <x:c r="G153" s="11" t="str">
        <x:v>Demande de paiement préparée</x:v>
      </x:c>
      <x:c r="H153" s="11" t="str">
        <x:v>SRC-103</x:v>
      </x:c>
      <x:c r="I153" s="11" t="str">
        <x:v>SYNTHETIQUE</x:v>
      </x:c>
    </x:row>
    <x:row r="154" ht="28" customHeight="1">
      <x:c r="A154" s="10" t="str">
        <x:v>EVT-149</x:v>
      </x:c>
      <x:c r="B154" s="10" t="str">
        <x:v>DOS-FICT-033</x:v>
      </x:c>
      <x:c r="C154" s="10" t="str">
        <x:v>Déclaration reçue</x:v>
      </x:c>
      <x:c r="D154" s="22" t="n">
        <x:v>46248.333333333336</x:v>
      </x:c>
      <x:c r="E154" s="10" t="str">
        <x:v>ACT-011</x:v>
      </x:c>
      <x:c r="F154" s="10" t="str">
        <x:v>Humain</x:v>
      </x:c>
      <x:c r="G154" s="10" t="str">
        <x:v>Terminé</x:v>
      </x:c>
      <x:c r="H154" s="10" t="str">
        <x:v>SRC-103</x:v>
      </x:c>
      <x:c r="I154" s="10" t="str">
        <x:v>SYNTHETIQUE</x:v>
      </x:c>
    </x:row>
    <x:row r="155" ht="28" customHeight="1">
      <x:c r="A155" s="11" t="str">
        <x:v>EVT-150</x:v>
      </x:c>
      <x:c r="B155" s="11" t="str">
        <x:v>DOS-FICT-033</x:v>
      </x:c>
      <x:c r="C155" s="11" t="str">
        <x:v>Pièces contrôlées</x:v>
      </x:c>
      <x:c r="D155" s="23" t="n">
        <x:v>46248.5</x:v>
      </x:c>
      <x:c r="E155" s="11" t="str">
        <x:v>ACT-011</x:v>
      </x:c>
      <x:c r="F155" s="11" t="str">
        <x:v>Humain</x:v>
      </x:c>
      <x:c r="G155" s="11" t="str">
        <x:v>Terminé</x:v>
      </x:c>
      <x:c r="H155" s="11" t="str">
        <x:v>SRC-103</x:v>
      </x:c>
      <x:c r="I155" s="11" t="str">
        <x:v>SYNTHETIQUE</x:v>
      </x:c>
    </x:row>
    <x:row r="156" ht="28" customHeight="1">
      <x:c r="A156" s="10" t="str">
        <x:v>EVT-151</x:v>
      </x:c>
      <x:c r="B156" s="10" t="str">
        <x:v>DOS-FICT-033</x:v>
      </x:c>
      <x:c r="C156" s="10" t="str">
        <x:v>Synthèse préparée</x:v>
      </x:c>
      <x:c r="D156" s="22" t="n">
        <x:v>46248.520833333336</x:v>
      </x:c>
      <x:c r="E156" s="10" t="str">
        <x:v>ACT-011</x:v>
      </x:c>
      <x:c r="F156" s="10" t="str">
        <x:v>AI-001</x:v>
      </x:c>
      <x:c r="G156" s="10" t="str">
        <x:v>Terminé</x:v>
      </x:c>
      <x:c r="H156" s="10" t="str">
        <x:v>SRC-103</x:v>
      </x:c>
      <x:c r="I156" s="10" t="str">
        <x:v>SYNTHETIQUE</x:v>
      </x:c>
    </x:row>
    <x:row r="157" ht="28" customHeight="1">
      <x:c r="A157" s="11" t="str">
        <x:v>EVT-152</x:v>
      </x:c>
      <x:c r="B157" s="11" t="str">
        <x:v>DOS-FICT-033</x:v>
      </x:c>
      <x:c r="C157" s="11" t="str">
        <x:v>Décision validée</x:v>
      </x:c>
      <x:c r="D157" s="23" t="n">
        <x:v>46248.541666666664</x:v>
      </x:c>
      <x:c r="E157" s="11" t="str">
        <x:v>ACT-012</x:v>
      </x:c>
      <x:c r="F157" s="11" t="str">
        <x:v>Humain</x:v>
      </x:c>
      <x:c r="G157" s="11" t="str">
        <x:v>Terminé</x:v>
      </x:c>
      <x:c r="H157" s="11" t="str">
        <x:v>SRC-103</x:v>
      </x:c>
      <x:c r="I157" s="11" t="str">
        <x:v>SYNTHETIQUE</x:v>
      </x:c>
    </x:row>
    <x:row r="158" ht="28" customHeight="1">
      <x:c r="A158" s="10" t="str">
        <x:v>EVT-153</x:v>
      </x:c>
      <x:c r="B158" s="10" t="str">
        <x:v>DOS-FICT-033</x:v>
      </x:c>
      <x:c r="C158" s="10" t="str">
        <x:v>Paiement préparé</x:v>
      </x:c>
      <x:c r="D158" s="22" t="n">
        <x:v>46248.5625</x:v>
      </x:c>
      <x:c r="E158" s="10" t="str">
        <x:v>ACT-012</x:v>
      </x:c>
      <x:c r="F158" s="10" t="str">
        <x:v>Humain</x:v>
      </x:c>
      <x:c r="G158" s="10" t="str">
        <x:v>Demande de paiement préparée</x:v>
      </x:c>
      <x:c r="H158" s="10" t="str">
        <x:v>SRC-103</x:v>
      </x:c>
      <x:c r="I158" s="10" t="str">
        <x:v>SYNTHETIQUE</x:v>
      </x:c>
    </x:row>
    <x:row r="159" ht="28" customHeight="1">
      <x:c r="A159" s="11" t="str">
        <x:v>EVT-154</x:v>
      </x:c>
      <x:c r="B159" s="11" t="str">
        <x:v>DOS-FICT-034</x:v>
      </x:c>
      <x:c r="C159" s="11" t="str">
        <x:v>Déclaration reçue</x:v>
      </x:c>
      <x:c r="D159" s="23" t="n">
        <x:v>46249.333333333336</x:v>
      </x:c>
      <x:c r="E159" s="11" t="str">
        <x:v>ACT-011</x:v>
      </x:c>
      <x:c r="F159" s="11" t="str">
        <x:v>Humain</x:v>
      </x:c>
      <x:c r="G159" s="11" t="str">
        <x:v>Terminé</x:v>
      </x:c>
      <x:c r="H159" s="11" t="str">
        <x:v>SRC-103</x:v>
      </x:c>
      <x:c r="I159" s="11" t="str">
        <x:v>SYNTHETIQUE</x:v>
      </x:c>
    </x:row>
    <x:row r="160" ht="28" customHeight="1">
      <x:c r="A160" s="10" t="str">
        <x:v>EVT-155</x:v>
      </x:c>
      <x:c r="B160" s="10" t="str">
        <x:v>DOS-FICT-034</x:v>
      </x:c>
      <x:c r="C160" s="10" t="str">
        <x:v>Pièces contrôlées</x:v>
      </x:c>
      <x:c r="D160" s="22" t="n">
        <x:v>46249.541666666664</x:v>
      </x:c>
      <x:c r="E160" s="10" t="str">
        <x:v>ACT-011</x:v>
      </x:c>
      <x:c r="F160" s="10" t="str">
        <x:v>Humain</x:v>
      </x:c>
      <x:c r="G160" s="10" t="str">
        <x:v>Terminé</x:v>
      </x:c>
      <x:c r="H160" s="10" t="str">
        <x:v>SRC-103</x:v>
      </x:c>
      <x:c r="I160" s="10" t="str">
        <x:v>SYNTHETIQUE</x:v>
      </x:c>
    </x:row>
    <x:row r="161" ht="28" customHeight="1">
      <x:c r="A161" s="11" t="str">
        <x:v>EVT-156</x:v>
      </x:c>
      <x:c r="B161" s="11" t="str">
        <x:v>DOS-FICT-034</x:v>
      </x:c>
      <x:c r="C161" s="11" t="str">
        <x:v>Synthèse préparée</x:v>
      </x:c>
      <x:c r="D161" s="23" t="n">
        <x:v>46249.5625</x:v>
      </x:c>
      <x:c r="E161" s="11" t="str">
        <x:v>ACT-011</x:v>
      </x:c>
      <x:c r="F161" s="11" t="str">
        <x:v>AI-001</x:v>
      </x:c>
      <x:c r="G161" s="11" t="str">
        <x:v>Terminé</x:v>
      </x:c>
      <x:c r="H161" s="11" t="str">
        <x:v>SRC-103</x:v>
      </x:c>
      <x:c r="I161" s="11" t="str">
        <x:v>SYNTHETIQUE</x:v>
      </x:c>
    </x:row>
    <x:row r="162" ht="28" customHeight="1">
      <x:c r="A162" s="10" t="str">
        <x:v>EVT-157</x:v>
      </x:c>
      <x:c r="B162" s="10" t="str">
        <x:v>DOS-FICT-034</x:v>
      </x:c>
      <x:c r="C162" s="10" t="str">
        <x:v>Décision validée</x:v>
      </x:c>
      <x:c r="D162" s="22" t="n">
        <x:v>46249.583333333336</x:v>
      </x:c>
      <x:c r="E162" s="10" t="str">
        <x:v>ACT-012</x:v>
      </x:c>
      <x:c r="F162" s="10" t="str">
        <x:v>Humain</x:v>
      </x:c>
      <x:c r="G162" s="10" t="str">
        <x:v>Terminé</x:v>
      </x:c>
      <x:c r="H162" s="10" t="str">
        <x:v>SRC-103</x:v>
      </x:c>
      <x:c r="I162" s="10" t="str">
        <x:v>SYNTHETIQUE</x:v>
      </x:c>
    </x:row>
    <x:row r="163" ht="28" customHeight="1">
      <x:c r="A163" s="11" t="str">
        <x:v>EVT-158</x:v>
      </x:c>
      <x:c r="B163" s="11" t="str">
        <x:v>DOS-FICT-034</x:v>
      </x:c>
      <x:c r="C163" s="11" t="str">
        <x:v>Paiement préparé</x:v>
      </x:c>
      <x:c r="D163" s="23" t="n">
        <x:v>46249.604166666664</x:v>
      </x:c>
      <x:c r="E163" s="11" t="str">
        <x:v>ACT-012</x:v>
      </x:c>
      <x:c r="F163" s="11" t="str">
        <x:v>Humain</x:v>
      </x:c>
      <x:c r="G163" s="11" t="str">
        <x:v>Demande de paiement préparée</x:v>
      </x:c>
      <x:c r="H163" s="11" t="str">
        <x:v>SRC-103</x:v>
      </x:c>
      <x:c r="I163" s="11" t="str">
        <x:v>SYNTHETIQUE</x:v>
      </x:c>
    </x:row>
    <x:row r="164" ht="28" customHeight="1">
      <x:c r="A164" s="10" t="str">
        <x:v>EVT-159</x:v>
      </x:c>
      <x:c r="B164" s="10" t="str">
        <x:v>DOS-FICT-035</x:v>
      </x:c>
      <x:c r="C164" s="10" t="str">
        <x:v>Déclaration reçue</x:v>
      </x:c>
      <x:c r="D164" s="22" t="n">
        <x:v>46250.333333333336</x:v>
      </x:c>
      <x:c r="E164" s="10" t="str">
        <x:v>ACT-011</x:v>
      </x:c>
      <x:c r="F164" s="10" t="str">
        <x:v>Humain</x:v>
      </x:c>
      <x:c r="G164" s="10" t="str">
        <x:v>Terminé</x:v>
      </x:c>
      <x:c r="H164" s="10" t="str">
        <x:v>SRC-103</x:v>
      </x:c>
      <x:c r="I164" s="10" t="str">
        <x:v>SYNTHETIQUE</x:v>
      </x:c>
    </x:row>
    <x:row r="165" ht="28" customHeight="1">
      <x:c r="A165" s="11" t="str">
        <x:v>EVT-160</x:v>
      </x:c>
      <x:c r="B165" s="11" t="str">
        <x:v>DOS-FICT-035</x:v>
      </x:c>
      <x:c r="C165" s="11" t="str">
        <x:v>Pièces contrôlées</x:v>
      </x:c>
      <x:c r="D165" s="23" t="n">
        <x:v>46250.375</x:v>
      </x:c>
      <x:c r="E165" s="11" t="str">
        <x:v>ACT-011</x:v>
      </x:c>
      <x:c r="F165" s="11" t="str">
        <x:v>Humain</x:v>
      </x:c>
      <x:c r="G165" s="11" t="str">
        <x:v>Terminé</x:v>
      </x:c>
      <x:c r="H165" s="11" t="str">
        <x:v>SRC-103</x:v>
      </x:c>
      <x:c r="I165" s="11" t="str">
        <x:v>SYNTHETIQUE</x:v>
      </x:c>
    </x:row>
    <x:row r="166" ht="28" customHeight="1">
      <x:c r="A166" s="10" t="str">
        <x:v>EVT-161</x:v>
      </x:c>
      <x:c r="B166" s="10" t="str">
        <x:v>DOS-FICT-035</x:v>
      </x:c>
      <x:c r="C166" s="10" t="str">
        <x:v>Synthèse préparée</x:v>
      </x:c>
      <x:c r="D166" s="22" t="n">
        <x:v>46250.395833333336</x:v>
      </x:c>
      <x:c r="E166" s="10" t="str">
        <x:v>ACT-011</x:v>
      </x:c>
      <x:c r="F166" s="10" t="str">
        <x:v>AI-001</x:v>
      </x:c>
      <x:c r="G166" s="10" t="str">
        <x:v>Terminé</x:v>
      </x:c>
      <x:c r="H166" s="10" t="str">
        <x:v>SRC-103</x:v>
      </x:c>
      <x:c r="I166" s="10" t="str">
        <x:v>SYNTHETIQUE</x:v>
      </x:c>
    </x:row>
    <x:row r="167" ht="28" customHeight="1">
      <x:c r="A167" s="11" t="str">
        <x:v>EVT-162</x:v>
      </x:c>
      <x:c r="B167" s="11" t="str">
        <x:v>DOS-FICT-035</x:v>
      </x:c>
      <x:c r="C167" s="11" t="str">
        <x:v>Décision validée</x:v>
      </x:c>
      <x:c r="D167" s="23" t="n">
        <x:v>46250.416666666664</x:v>
      </x:c>
      <x:c r="E167" s="11" t="str">
        <x:v>ACT-012</x:v>
      </x:c>
      <x:c r="F167" s="11" t="str">
        <x:v>Humain</x:v>
      </x:c>
      <x:c r="G167" s="11" t="str">
        <x:v>Terminé</x:v>
      </x:c>
      <x:c r="H167" s="11" t="str">
        <x:v>SRC-103</x:v>
      </x:c>
      <x:c r="I167" s="11" t="str">
        <x:v>SYNTHETIQUE</x:v>
      </x:c>
    </x:row>
    <x:row r="168" ht="28" customHeight="1">
      <x:c r="A168" s="10" t="str">
        <x:v>EVT-163</x:v>
      </x:c>
      <x:c r="B168" s="10" t="str">
        <x:v>DOS-FICT-035</x:v>
      </x:c>
      <x:c r="C168" s="10" t="str">
        <x:v>Paiement préparé</x:v>
      </x:c>
      <x:c r="D168" s="22" t="n">
        <x:v>46250.4375</x:v>
      </x:c>
      <x:c r="E168" s="10" t="str">
        <x:v>ACT-012</x:v>
      </x:c>
      <x:c r="F168" s="10" t="str">
        <x:v>Humain</x:v>
      </x:c>
      <x:c r="G168" s="10" t="str">
        <x:v>Demande de paiement préparée</x:v>
      </x:c>
      <x:c r="H168" s="10" t="str">
        <x:v>SRC-103</x:v>
      </x:c>
      <x:c r="I168" s="10" t="str">
        <x:v>SYNTHETIQUE</x:v>
      </x:c>
    </x:row>
    <x:row r="169" ht="28" customHeight="1">
      <x:c r="A169" s="11" t="str">
        <x:v>EVT-164</x:v>
      </x:c>
      <x:c r="B169" s="11" t="str">
        <x:v>DOS-FICT-036</x:v>
      </x:c>
      <x:c r="C169" s="11" t="str">
        <x:v>Déclaration reçue</x:v>
      </x:c>
      <x:c r="D169" s="23" t="n">
        <x:v>46251.333333333336</x:v>
      </x:c>
      <x:c r="E169" s="11" t="str">
        <x:v>ACT-011</x:v>
      </x:c>
      <x:c r="F169" s="11" t="str">
        <x:v>Humain</x:v>
      </x:c>
      <x:c r="G169" s="11" t="str">
        <x:v>Terminé</x:v>
      </x:c>
      <x:c r="H169" s="11" t="str">
        <x:v>SRC-103</x:v>
      </x:c>
      <x:c r="I169" s="11" t="str">
        <x:v>SYNTHETIQUE</x:v>
      </x:c>
    </x:row>
    <x:row r="170" ht="28" customHeight="1">
      <x:c r="A170" s="10" t="str">
        <x:v>EVT-165</x:v>
      </x:c>
      <x:c r="B170" s="10" t="str">
        <x:v>DOS-FICT-036</x:v>
      </x:c>
      <x:c r="C170" s="10" t="str">
        <x:v>Pièces contrôlées</x:v>
      </x:c>
      <x:c r="D170" s="22" t="n">
        <x:v>46251.416666666664</x:v>
      </x:c>
      <x:c r="E170" s="10" t="str">
        <x:v>ACT-011</x:v>
      </x:c>
      <x:c r="F170" s="10" t="str">
        <x:v>Humain</x:v>
      </x:c>
      <x:c r="G170" s="10" t="str">
        <x:v>Terminé</x:v>
      </x:c>
      <x:c r="H170" s="10" t="str">
        <x:v>SRC-103</x:v>
      </x:c>
      <x:c r="I170" s="10" t="str">
        <x:v>SYNTHETIQUE</x:v>
      </x:c>
    </x:row>
    <x:row r="171" ht="28" customHeight="1">
      <x:c r="A171" s="11" t="str">
        <x:v>EVT-166</x:v>
      </x:c>
      <x:c r="B171" s="11" t="str">
        <x:v>DOS-FICT-036</x:v>
      </x:c>
      <x:c r="C171" s="11" t="str">
        <x:v>Synthèse préparée</x:v>
      </x:c>
      <x:c r="D171" s="23" t="n">
        <x:v>46251.4375</x:v>
      </x:c>
      <x:c r="E171" s="11" t="str">
        <x:v>ACT-011</x:v>
      </x:c>
      <x:c r="F171" s="11" t="str">
        <x:v>AI-001</x:v>
      </x:c>
      <x:c r="G171" s="11" t="str">
        <x:v>Terminé</x:v>
      </x:c>
      <x:c r="H171" s="11" t="str">
        <x:v>SRC-103</x:v>
      </x:c>
      <x:c r="I171" s="11" t="str">
        <x:v>SYNTHETIQUE</x:v>
      </x:c>
    </x:row>
    <x:row r="172" ht="28" customHeight="1">
      <x:c r="A172" s="10" t="str">
        <x:v>EVT-167</x:v>
      </x:c>
      <x:c r="B172" s="10" t="str">
        <x:v>DOS-FICT-036</x:v>
      </x:c>
      <x:c r="C172" s="10" t="str">
        <x:v>Décision validée</x:v>
      </x:c>
      <x:c r="D172" s="22" t="n">
        <x:v>46251.458333333336</x:v>
      </x:c>
      <x:c r="E172" s="10" t="str">
        <x:v>ACT-012</x:v>
      </x:c>
      <x:c r="F172" s="10" t="str">
        <x:v>Humain</x:v>
      </x:c>
      <x:c r="G172" s="10" t="str">
        <x:v>Terminé</x:v>
      </x:c>
      <x:c r="H172" s="10" t="str">
        <x:v>SRC-103</x:v>
      </x:c>
      <x:c r="I172" s="10" t="str">
        <x:v>SYNTHETIQUE</x:v>
      </x:c>
    </x:row>
    <x:row r="173" ht="28" customHeight="1">
      <x:c r="A173" s="11" t="str">
        <x:v>EVT-168</x:v>
      </x:c>
      <x:c r="B173" s="11" t="str">
        <x:v>DOS-FICT-036</x:v>
      </x:c>
      <x:c r="C173" s="11" t="str">
        <x:v>Paiement préparé</x:v>
      </x:c>
      <x:c r="D173" s="23" t="n">
        <x:v>46251.479166666664</x:v>
      </x:c>
      <x:c r="E173" s="11" t="str">
        <x:v>ACT-012</x:v>
      </x:c>
      <x:c r="F173" s="11" t="str">
        <x:v>Humain</x:v>
      </x:c>
      <x:c r="G173" s="11" t="str">
        <x:v>Demande de paiement préparée</x:v>
      </x:c>
      <x:c r="H173" s="11" t="str">
        <x:v>SRC-103</x:v>
      </x:c>
      <x:c r="I173" s="11" t="str">
        <x:v>SYNTHETIQUE</x:v>
      </x:c>
    </x:row>
    <x:row r="174" ht="28" customHeight="1">
      <x:c r="A174" s="10" t="str">
        <x:v>EVT-169</x:v>
      </x:c>
      <x:c r="B174" s="10" t="str">
        <x:v>DOS-FICT-037</x:v>
      </x:c>
      <x:c r="C174" s="10" t="str">
        <x:v>Déclaration reçue</x:v>
      </x:c>
      <x:c r="D174" s="22" t="n">
        <x:v>46252.333333333336</x:v>
      </x:c>
      <x:c r="E174" s="10" t="str">
        <x:v>ACT-011</x:v>
      </x:c>
      <x:c r="F174" s="10" t="str">
        <x:v>Humain</x:v>
      </x:c>
      <x:c r="G174" s="10" t="str">
        <x:v>Terminé</x:v>
      </x:c>
      <x:c r="H174" s="10" t="str">
        <x:v>SRC-103</x:v>
      </x:c>
      <x:c r="I174" s="10" t="str">
        <x:v>SYNTHETIQUE</x:v>
      </x:c>
    </x:row>
    <x:row r="175" ht="28" customHeight="1">
      <x:c r="A175" s="11" t="str">
        <x:v>EVT-170</x:v>
      </x:c>
      <x:c r="B175" s="11" t="str">
        <x:v>DOS-FICT-037</x:v>
      </x:c>
      <x:c r="C175" s="11" t="str">
        <x:v>Pièces contrôlées</x:v>
      </x:c>
      <x:c r="D175" s="23" t="n">
        <x:v>46252.458333333336</x:v>
      </x:c>
      <x:c r="E175" s="11" t="str">
        <x:v>ACT-011</x:v>
      </x:c>
      <x:c r="F175" s="11" t="str">
        <x:v>Humain</x:v>
      </x:c>
      <x:c r="G175" s="11" t="str">
        <x:v>Terminé</x:v>
      </x:c>
      <x:c r="H175" s="11" t="str">
        <x:v>SRC-103</x:v>
      </x:c>
      <x:c r="I175" s="11" t="str">
        <x:v>SYNTHETIQUE</x:v>
      </x:c>
    </x:row>
    <x:row r="176" ht="28" customHeight="1">
      <x:c r="A176" s="10" t="str">
        <x:v>EVT-171</x:v>
      </x:c>
      <x:c r="B176" s="10" t="str">
        <x:v>DOS-FICT-037</x:v>
      </x:c>
      <x:c r="C176" s="10" t="str">
        <x:v>Synthèse préparée</x:v>
      </x:c>
      <x:c r="D176" s="22" t="n">
        <x:v>46252.479166666664</x:v>
      </x:c>
      <x:c r="E176" s="10" t="str">
        <x:v>ACT-011</x:v>
      </x:c>
      <x:c r="F176" s="10" t="str">
        <x:v>AI-001</x:v>
      </x:c>
      <x:c r="G176" s="10" t="str">
        <x:v>Terminé</x:v>
      </x:c>
      <x:c r="H176" s="10" t="str">
        <x:v>SRC-103</x:v>
      </x:c>
      <x:c r="I176" s="10" t="str">
        <x:v>SYNTHETIQUE</x:v>
      </x:c>
    </x:row>
    <x:row r="177" ht="28" customHeight="1">
      <x:c r="A177" s="11" t="str">
        <x:v>EVT-172</x:v>
      </x:c>
      <x:c r="B177" s="11" t="str">
        <x:v>DOS-FICT-037</x:v>
      </x:c>
      <x:c r="C177" s="11" t="str">
        <x:v>Décision validée</x:v>
      </x:c>
      <x:c r="D177" s="23" t="n">
        <x:v>46252.5</x:v>
      </x:c>
      <x:c r="E177" s="11" t="str">
        <x:v>ACT-012</x:v>
      </x:c>
      <x:c r="F177" s="11" t="str">
        <x:v>Humain</x:v>
      </x:c>
      <x:c r="G177" s="11" t="str">
        <x:v>Terminé</x:v>
      </x:c>
      <x:c r="H177" s="11" t="str">
        <x:v>SRC-103</x:v>
      </x:c>
      <x:c r="I177" s="11" t="str">
        <x:v>SYNTHETIQUE</x:v>
      </x:c>
    </x:row>
    <x:row r="178" ht="28" customHeight="1">
      <x:c r="A178" s="10" t="str">
        <x:v>EVT-173</x:v>
      </x:c>
      <x:c r="B178" s="10" t="str">
        <x:v>DOS-FICT-037</x:v>
      </x:c>
      <x:c r="C178" s="10" t="str">
        <x:v>Paiement préparé</x:v>
      </x:c>
      <x:c r="D178" s="22" t="n">
        <x:v>46252.520833333336</x:v>
      </x:c>
      <x:c r="E178" s="10" t="str">
        <x:v>ACT-012</x:v>
      </x:c>
      <x:c r="F178" s="10" t="str">
        <x:v>Humain</x:v>
      </x:c>
      <x:c r="G178" s="10" t="str">
        <x:v>Demande de paiement préparée</x:v>
      </x:c>
      <x:c r="H178" s="10" t="str">
        <x:v>SRC-103</x:v>
      </x:c>
      <x:c r="I178" s="10" t="str">
        <x:v>SYNTHETIQUE</x:v>
      </x:c>
    </x:row>
    <x:row r="179" ht="28" customHeight="1">
      <x:c r="A179" s="11" t="str">
        <x:v>EVT-174</x:v>
      </x:c>
      <x:c r="B179" s="11" t="str">
        <x:v>DOS-FICT-038</x:v>
      </x:c>
      <x:c r="C179" s="11" t="str">
        <x:v>Déclaration reçue</x:v>
      </x:c>
      <x:c r="D179" s="23" t="n">
        <x:v>46253.333333333336</x:v>
      </x:c>
      <x:c r="E179" s="11" t="str">
        <x:v>ACT-011</x:v>
      </x:c>
      <x:c r="F179" s="11" t="str">
        <x:v>Humain</x:v>
      </x:c>
      <x:c r="G179" s="11" t="str">
        <x:v>Terminé</x:v>
      </x:c>
      <x:c r="H179" s="11" t="str">
        <x:v>SRC-103</x:v>
      </x:c>
      <x:c r="I179" s="11" t="str">
        <x:v>SYNTHETIQUE</x:v>
      </x:c>
    </x:row>
    <x:row r="180" ht="28" customHeight="1">
      <x:c r="A180" s="10" t="str">
        <x:v>EVT-175</x:v>
      </x:c>
      <x:c r="B180" s="10" t="str">
        <x:v>DOS-FICT-038</x:v>
      </x:c>
      <x:c r="C180" s="10" t="str">
        <x:v>Pièces contrôlées</x:v>
      </x:c>
      <x:c r="D180" s="22" t="n">
        <x:v>46253.5</x:v>
      </x:c>
      <x:c r="E180" s="10" t="str">
        <x:v>ACT-011</x:v>
      </x:c>
      <x:c r="F180" s="10" t="str">
        <x:v>Humain</x:v>
      </x:c>
      <x:c r="G180" s="10" t="str">
        <x:v>Terminé</x:v>
      </x:c>
      <x:c r="H180" s="10" t="str">
        <x:v>SRC-103</x:v>
      </x:c>
      <x:c r="I180" s="10" t="str">
        <x:v>SYNTHETIQUE</x:v>
      </x:c>
    </x:row>
    <x:row r="181" ht="28" customHeight="1">
      <x:c r="A181" s="11" t="str">
        <x:v>EVT-176</x:v>
      </x:c>
      <x:c r="B181" s="11" t="str">
        <x:v>DOS-FICT-038</x:v>
      </x:c>
      <x:c r="C181" s="11" t="str">
        <x:v>Synthèse préparée</x:v>
      </x:c>
      <x:c r="D181" s="23" t="n">
        <x:v>46253.520833333336</x:v>
      </x:c>
      <x:c r="E181" s="11" t="str">
        <x:v>ACT-011</x:v>
      </x:c>
      <x:c r="F181" s="11" t="str">
        <x:v>AI-001</x:v>
      </x:c>
      <x:c r="G181" s="11" t="str">
        <x:v>Terminé</x:v>
      </x:c>
      <x:c r="H181" s="11" t="str">
        <x:v>SRC-103</x:v>
      </x:c>
      <x:c r="I181" s="11" t="str">
        <x:v>SYNTHETIQUE</x:v>
      </x:c>
    </x:row>
    <x:row r="182" ht="28" customHeight="1">
      <x:c r="A182" s="10" t="str">
        <x:v>EVT-177</x:v>
      </x:c>
      <x:c r="B182" s="10" t="str">
        <x:v>DOS-FICT-038</x:v>
      </x:c>
      <x:c r="C182" s="10" t="str">
        <x:v>Décision validée</x:v>
      </x:c>
      <x:c r="D182" s="22" t="n">
        <x:v>46253.541666666664</x:v>
      </x:c>
      <x:c r="E182" s="10" t="str">
        <x:v>ACT-012</x:v>
      </x:c>
      <x:c r="F182" s="10" t="str">
        <x:v>Humain</x:v>
      </x:c>
      <x:c r="G182" s="10" t="str">
        <x:v>Terminé</x:v>
      </x:c>
      <x:c r="H182" s="10" t="str">
        <x:v>SRC-103</x:v>
      </x:c>
      <x:c r="I182" s="10" t="str">
        <x:v>SYNTHETIQUE</x:v>
      </x:c>
    </x:row>
    <x:row r="183" ht="28" customHeight="1">
      <x:c r="A183" s="11" t="str">
        <x:v>EVT-178</x:v>
      </x:c>
      <x:c r="B183" s="11" t="str">
        <x:v>DOS-FICT-038</x:v>
      </x:c>
      <x:c r="C183" s="11" t="str">
        <x:v>Paiement préparé</x:v>
      </x:c>
      <x:c r="D183" s="23" t="n">
        <x:v>46253.5625</x:v>
      </x:c>
      <x:c r="E183" s="11" t="str">
        <x:v>ACT-012</x:v>
      </x:c>
      <x:c r="F183" s="11" t="str">
        <x:v>Humain</x:v>
      </x:c>
      <x:c r="G183" s="11" t="str">
        <x:v>Demande de paiement préparée</x:v>
      </x:c>
      <x:c r="H183" s="11" t="str">
        <x:v>SRC-103</x:v>
      </x:c>
      <x:c r="I183" s="11" t="str">
        <x:v>SYNTHETIQUE</x:v>
      </x:c>
    </x:row>
    <x:row r="184" ht="28" customHeight="1">
      <x:c r="A184" s="10" t="str">
        <x:v>EVT-179</x:v>
      </x:c>
      <x:c r="B184" s="10" t="str">
        <x:v>DOS-FICT-039</x:v>
      </x:c>
      <x:c r="C184" s="10" t="str">
        <x:v>Déclaration reçue</x:v>
      </x:c>
      <x:c r="D184" s="22" t="n">
        <x:v>46254.333333333336</x:v>
      </x:c>
      <x:c r="E184" s="10" t="str">
        <x:v>ACT-011</x:v>
      </x:c>
      <x:c r="F184" s="10" t="str">
        <x:v>Humain</x:v>
      </x:c>
      <x:c r="G184" s="10" t="str">
        <x:v>Terminé</x:v>
      </x:c>
      <x:c r="H184" s="10" t="str">
        <x:v>SRC-103</x:v>
      </x:c>
      <x:c r="I184" s="10" t="str">
        <x:v>SYNTHETIQUE</x:v>
      </x:c>
    </x:row>
    <x:row r="185" ht="28" customHeight="1">
      <x:c r="A185" s="11" t="str">
        <x:v>EVT-180</x:v>
      </x:c>
      <x:c r="B185" s="11" t="str">
        <x:v>DOS-FICT-039</x:v>
      </x:c>
      <x:c r="C185" s="11" t="str">
        <x:v>Pièces contrôlées</x:v>
      </x:c>
      <x:c r="D185" s="23" t="n">
        <x:v>46254.541666666664</x:v>
      </x:c>
      <x:c r="E185" s="11" t="str">
        <x:v>ACT-011</x:v>
      </x:c>
      <x:c r="F185" s="11" t="str">
        <x:v>Humain</x:v>
      </x:c>
      <x:c r="G185" s="11" t="str">
        <x:v>Terminé</x:v>
      </x:c>
      <x:c r="H185" s="11" t="str">
        <x:v>SRC-103</x:v>
      </x:c>
      <x:c r="I185" s="11" t="str">
        <x:v>SYNTHETIQUE</x:v>
      </x:c>
    </x:row>
    <x:row r="186" ht="28" customHeight="1">
      <x:c r="A186" s="10" t="str">
        <x:v>EVT-181</x:v>
      </x:c>
      <x:c r="B186" s="10" t="str">
        <x:v>DOS-FICT-039</x:v>
      </x:c>
      <x:c r="C186" s="10" t="str">
        <x:v>Synthèse préparée</x:v>
      </x:c>
      <x:c r="D186" s="22" t="n">
        <x:v>46254.5625</x:v>
      </x:c>
      <x:c r="E186" s="10" t="str">
        <x:v>ACT-011</x:v>
      </x:c>
      <x:c r="F186" s="10" t="str">
        <x:v>AI-001</x:v>
      </x:c>
      <x:c r="G186" s="10" t="str">
        <x:v>Terminé</x:v>
      </x:c>
      <x:c r="H186" s="10" t="str">
        <x:v>SRC-103</x:v>
      </x:c>
      <x:c r="I186" s="10" t="str">
        <x:v>SYNTHETIQUE</x:v>
      </x:c>
    </x:row>
    <x:row r="187" ht="28" customHeight="1">
      <x:c r="A187" s="11" t="str">
        <x:v>EVT-182</x:v>
      </x:c>
      <x:c r="B187" s="11" t="str">
        <x:v>DOS-FICT-039</x:v>
      </x:c>
      <x:c r="C187" s="11" t="str">
        <x:v>Décision validée</x:v>
      </x:c>
      <x:c r="D187" s="23" t="n">
        <x:v>46254.583333333336</x:v>
      </x:c>
      <x:c r="E187" s="11" t="str">
        <x:v>ACT-012</x:v>
      </x:c>
      <x:c r="F187" s="11" t="str">
        <x:v>Humain</x:v>
      </x:c>
      <x:c r="G187" s="11" t="str">
        <x:v>Terminé</x:v>
      </x:c>
      <x:c r="H187" s="11" t="str">
        <x:v>SRC-103</x:v>
      </x:c>
      <x:c r="I187" s="11" t="str">
        <x:v>SYNTHETIQUE</x:v>
      </x:c>
    </x:row>
    <x:row r="188" ht="28" customHeight="1">
      <x:c r="A188" s="10" t="str">
        <x:v>EVT-183</x:v>
      </x:c>
      <x:c r="B188" s="10" t="str">
        <x:v>DOS-FICT-039</x:v>
      </x:c>
      <x:c r="C188" s="10" t="str">
        <x:v>Paiement préparé</x:v>
      </x:c>
      <x:c r="D188" s="22" t="n">
        <x:v>46254.604166666664</x:v>
      </x:c>
      <x:c r="E188" s="10" t="str">
        <x:v>ACT-012</x:v>
      </x:c>
      <x:c r="F188" s="10" t="str">
        <x:v>Humain</x:v>
      </x:c>
      <x:c r="G188" s="10" t="str">
        <x:v>Demande de paiement préparée</x:v>
      </x:c>
      <x:c r="H188" s="10" t="str">
        <x:v>SRC-103</x:v>
      </x:c>
      <x:c r="I188" s="10" t="str">
        <x:v>SYNTHETIQUE</x:v>
      </x:c>
    </x:row>
    <x:row r="189" ht="28" customHeight="1">
      <x:c r="A189" s="11" t="str">
        <x:v>EVT-184</x:v>
      </x:c>
      <x:c r="B189" s="11" t="str">
        <x:v>DOS-FICT-040</x:v>
      </x:c>
      <x:c r="C189" s="11" t="str">
        <x:v>Déclaration reçue</x:v>
      </x:c>
      <x:c r="D189" s="23" t="n">
        <x:v>46235.333333333336</x:v>
      </x:c>
      <x:c r="E189" s="11" t="str">
        <x:v>ACT-011</x:v>
      </x:c>
      <x:c r="F189" s="11" t="str">
        <x:v>Humain</x:v>
      </x:c>
      <x:c r="G189" s="11" t="str">
        <x:v>Terminé</x:v>
      </x:c>
      <x:c r="H189" s="11" t="str">
        <x:v>SRC-103</x:v>
      </x:c>
      <x:c r="I189" s="11" t="str">
        <x:v>SYNTHETIQUE</x:v>
      </x:c>
    </x:row>
    <x:row r="190" ht="28" customHeight="1">
      <x:c r="A190" s="10" t="str">
        <x:v>EVT-185</x:v>
      </x:c>
      <x:c r="B190" s="10" t="str">
        <x:v>DOS-FICT-040</x:v>
      </x:c>
      <x:c r="C190" s="10" t="str">
        <x:v>Pièces contrôlées</x:v>
      </x:c>
      <x:c r="D190" s="22" t="n">
        <x:v>46235.375</x:v>
      </x:c>
      <x:c r="E190" s="10" t="str">
        <x:v>ACT-011</x:v>
      </x:c>
      <x:c r="F190" s="10" t="str">
        <x:v>Humain</x:v>
      </x:c>
      <x:c r="G190" s="10" t="str">
        <x:v>Terminé</x:v>
      </x:c>
      <x:c r="H190" s="10" t="str">
        <x:v>SRC-103</x:v>
      </x:c>
      <x:c r="I190" s="10" t="str">
        <x:v>SYNTHETIQUE</x:v>
      </x:c>
    </x:row>
    <x:row r="191" ht="28" customHeight="1">
      <x:c r="A191" s="11" t="str">
        <x:v>EVT-186</x:v>
      </x:c>
      <x:c r="B191" s="11" t="str">
        <x:v>DOS-FICT-040</x:v>
      </x:c>
      <x:c r="C191" s="11" t="str">
        <x:v>Synthèse préparée</x:v>
      </x:c>
      <x:c r="D191" s="23" t="n">
        <x:v>46235.395833333336</x:v>
      </x:c>
      <x:c r="E191" s="11" t="str">
        <x:v>ACT-011</x:v>
      </x:c>
      <x:c r="F191" s="11" t="str">
        <x:v>AI-001</x:v>
      </x:c>
      <x:c r="G191" s="11" t="str">
        <x:v>Terminé</x:v>
      </x:c>
      <x:c r="H191" s="11" t="str">
        <x:v>SRC-103</x:v>
      </x:c>
      <x:c r="I191" s="11" t="str">
        <x:v>SYNTHETIQUE</x:v>
      </x:c>
    </x:row>
    <x:row r="192" ht="28" customHeight="1">
      <x:c r="A192" s="10" t="str">
        <x:v>EVT-187</x:v>
      </x:c>
      <x:c r="B192" s="10" t="str">
        <x:v>DOS-FICT-040</x:v>
      </x:c>
      <x:c r="C192" s="10" t="str">
        <x:v>Décision validée</x:v>
      </x:c>
      <x:c r="D192" s="22" t="n">
        <x:v>46235.416666666664</x:v>
      </x:c>
      <x:c r="E192" s="10" t="str">
        <x:v>ACT-012</x:v>
      </x:c>
      <x:c r="F192" s="10" t="str">
        <x:v>Humain</x:v>
      </x:c>
      <x:c r="G192" s="10" t="str">
        <x:v>Terminé</x:v>
      </x:c>
      <x:c r="H192" s="10" t="str">
        <x:v>SRC-103</x:v>
      </x:c>
      <x:c r="I192" s="10" t="str">
        <x:v>SYNTHETIQUE</x:v>
      </x:c>
    </x:row>
    <x:row r="193" ht="28" customHeight="1">
      <x:c r="A193" s="11" t="str">
        <x:v>EVT-188</x:v>
      </x:c>
      <x:c r="B193" s="11" t="str">
        <x:v>DOS-FICT-040</x:v>
      </x:c>
      <x:c r="C193" s="11" t="str">
        <x:v>Paiement préparé</x:v>
      </x:c>
      <x:c r="D193" s="23" t="n">
        <x:v>46235.4375</x:v>
      </x:c>
      <x:c r="E193" s="11" t="str">
        <x:v>ACT-012</x:v>
      </x:c>
      <x:c r="F193" s="11" t="str">
        <x:v>Humain</x:v>
      </x:c>
      <x:c r="G193" s="11" t="str">
        <x:v>Demande de paiement préparée</x:v>
      </x:c>
      <x:c r="H193" s="11" t="str">
        <x:v>SRC-103</x:v>
      </x:c>
      <x:c r="I193" s="11" t="str">
        <x:v>SYNTHETIQUE</x:v>
      </x:c>
    </x:row>
    <x:row r="194" ht="28" customHeight="1">
      <x:c r="A194" s="10" t="str">
        <x:v>EVT-189</x:v>
      </x:c>
      <x:c r="B194" s="10" t="str">
        <x:v>DOS-FICT-041</x:v>
      </x:c>
      <x:c r="C194" s="10" t="str">
        <x:v>Déclaration reçue</x:v>
      </x:c>
      <x:c r="D194" s="22" t="n">
        <x:v>46236.333333333336</x:v>
      </x:c>
      <x:c r="E194" s="10" t="str">
        <x:v>ACT-011</x:v>
      </x:c>
      <x:c r="F194" s="10" t="str">
        <x:v>Humain</x:v>
      </x:c>
      <x:c r="G194" s="10" t="str">
        <x:v>Terminé</x:v>
      </x:c>
      <x:c r="H194" s="10" t="str">
        <x:v>SRC-103</x:v>
      </x:c>
      <x:c r="I194" s="10" t="str">
        <x:v>SYNTHETIQUE</x:v>
      </x:c>
    </x:row>
    <x:row r="195" ht="28" customHeight="1">
      <x:c r="A195" s="11" t="str">
        <x:v>EVT-190</x:v>
      </x:c>
      <x:c r="B195" s="11" t="str">
        <x:v>DOS-FICT-041</x:v>
      </x:c>
      <x:c r="C195" s="11" t="str">
        <x:v>Pièces contrôlées</x:v>
      </x:c>
      <x:c r="D195" s="23" t="n">
        <x:v>46236.416666666664</x:v>
      </x:c>
      <x:c r="E195" s="11" t="str">
        <x:v>ACT-011</x:v>
      </x:c>
      <x:c r="F195" s="11" t="str">
        <x:v>Humain</x:v>
      </x:c>
      <x:c r="G195" s="11" t="str">
        <x:v>Terminé</x:v>
      </x:c>
      <x:c r="H195" s="11" t="str">
        <x:v>SRC-103</x:v>
      </x:c>
      <x:c r="I195" s="11" t="str">
        <x:v>SYNTHETIQUE</x:v>
      </x:c>
    </x:row>
    <x:row r="196" ht="28" customHeight="1">
      <x:c r="A196" s="10" t="str">
        <x:v>EVT-191</x:v>
      </x:c>
      <x:c r="B196" s="10" t="str">
        <x:v>DOS-FICT-041</x:v>
      </x:c>
      <x:c r="C196" s="10" t="str">
        <x:v>Synthèse préparée</x:v>
      </x:c>
      <x:c r="D196" s="22" t="n">
        <x:v>46236.4375</x:v>
      </x:c>
      <x:c r="E196" s="10" t="str">
        <x:v>ACT-011</x:v>
      </x:c>
      <x:c r="F196" s="10" t="str">
        <x:v>AI-001</x:v>
      </x:c>
      <x:c r="G196" s="10" t="str">
        <x:v>Terminé</x:v>
      </x:c>
      <x:c r="H196" s="10" t="str">
        <x:v>SRC-103</x:v>
      </x:c>
      <x:c r="I196" s="10" t="str">
        <x:v>SYNTHETIQUE</x:v>
      </x:c>
    </x:row>
    <x:row r="197" ht="28" customHeight="1">
      <x:c r="A197" s="11" t="str">
        <x:v>EVT-192</x:v>
      </x:c>
      <x:c r="B197" s="11" t="str">
        <x:v>DOS-FICT-041</x:v>
      </x:c>
      <x:c r="C197" s="11" t="str">
        <x:v>Décision validée</x:v>
      </x:c>
      <x:c r="D197" s="23" t="n">
        <x:v>46236.458333333336</x:v>
      </x:c>
      <x:c r="E197" s="11" t="str">
        <x:v>ACT-012</x:v>
      </x:c>
      <x:c r="F197" s="11" t="str">
        <x:v>Humain</x:v>
      </x:c>
      <x:c r="G197" s="11" t="str">
        <x:v>Terminé</x:v>
      </x:c>
      <x:c r="H197" s="11" t="str">
        <x:v>SRC-103</x:v>
      </x:c>
      <x:c r="I197" s="11" t="str">
        <x:v>SYNTHETIQUE</x:v>
      </x:c>
    </x:row>
    <x:row r="198" ht="28" customHeight="1">
      <x:c r="A198" s="10" t="str">
        <x:v>EVT-193</x:v>
      </x:c>
      <x:c r="B198" s="10" t="str">
        <x:v>DOS-FICT-041</x:v>
      </x:c>
      <x:c r="C198" s="10" t="str">
        <x:v>Paiement préparé</x:v>
      </x:c>
      <x:c r="D198" s="22" t="n">
        <x:v>46236.479166666664</x:v>
      </x:c>
      <x:c r="E198" s="10" t="str">
        <x:v>ACT-012</x:v>
      </x:c>
      <x:c r="F198" s="10" t="str">
        <x:v>Humain</x:v>
      </x:c>
      <x:c r="G198" s="10" t="str">
        <x:v>Demande de paiement préparée</x:v>
      </x:c>
      <x:c r="H198" s="10" t="str">
        <x:v>SRC-103</x:v>
      </x:c>
      <x:c r="I198" s="10" t="str">
        <x:v>SYNTHETIQUE</x:v>
      </x:c>
    </x:row>
    <x:row r="199" ht="28" customHeight="1">
      <x:c r="A199" s="11" t="str">
        <x:v>EVT-194</x:v>
      </x:c>
      <x:c r="B199" s="11" t="str">
        <x:v>DOS-FICT-042</x:v>
      </x:c>
      <x:c r="C199" s="11" t="str">
        <x:v>Déclaration reçue</x:v>
      </x:c>
      <x:c r="D199" s="23" t="n">
        <x:v>46237.333333333336</x:v>
      </x:c>
      <x:c r="E199" s="11" t="str">
        <x:v>ACT-011</x:v>
      </x:c>
      <x:c r="F199" s="11" t="str">
        <x:v>Humain</x:v>
      </x:c>
      <x:c r="G199" s="11" t="str">
        <x:v>Terminé</x:v>
      </x:c>
      <x:c r="H199" s="11" t="str">
        <x:v>SRC-103</x:v>
      </x:c>
      <x:c r="I199" s="11" t="str">
        <x:v>SYNTHETIQUE</x:v>
      </x:c>
    </x:row>
    <x:row r="200" ht="28" customHeight="1">
      <x:c r="A200" s="10" t="str">
        <x:v>EVT-195</x:v>
      </x:c>
      <x:c r="B200" s="10" t="str">
        <x:v>DOS-FICT-042</x:v>
      </x:c>
      <x:c r="C200" s="10" t="str">
        <x:v>Pièces contrôlées</x:v>
      </x:c>
      <x:c r="D200" s="22" t="n">
        <x:v>46237.458333333336</x:v>
      </x:c>
      <x:c r="E200" s="10" t="str">
        <x:v>ACT-011</x:v>
      </x:c>
      <x:c r="F200" s="10" t="str">
        <x:v>Humain</x:v>
      </x:c>
      <x:c r="G200" s="10" t="str">
        <x:v>Terminé</x:v>
      </x:c>
      <x:c r="H200" s="10" t="str">
        <x:v>SRC-103</x:v>
      </x:c>
      <x:c r="I200" s="10" t="str">
        <x:v>SYNTHETIQUE</x:v>
      </x:c>
    </x:row>
    <x:row r="201" ht="28" customHeight="1">
      <x:c r="A201" s="11" t="str">
        <x:v>EVT-196</x:v>
      </x:c>
      <x:c r="B201" s="11" t="str">
        <x:v>DOS-FICT-042</x:v>
      </x:c>
      <x:c r="C201" s="11" t="str">
        <x:v>Synthèse préparée</x:v>
      </x:c>
      <x:c r="D201" s="23" t="n">
        <x:v>46237.479166666664</x:v>
      </x:c>
      <x:c r="E201" s="11" t="str">
        <x:v>ACT-011</x:v>
      </x:c>
      <x:c r="F201" s="11" t="str">
        <x:v>AI-001</x:v>
      </x:c>
      <x:c r="G201" s="11" t="str">
        <x:v>Terminé</x:v>
      </x:c>
      <x:c r="H201" s="11" t="str">
        <x:v>SRC-103</x:v>
      </x:c>
      <x:c r="I201" s="11" t="str">
        <x:v>SYNTHETIQUE</x:v>
      </x:c>
    </x:row>
    <x:row r="202" ht="28" customHeight="1">
      <x:c r="A202" s="10" t="str">
        <x:v>EVT-197</x:v>
      </x:c>
      <x:c r="B202" s="10" t="str">
        <x:v>DOS-FICT-042</x:v>
      </x:c>
      <x:c r="C202" s="10" t="str">
        <x:v>Décision validée</x:v>
      </x:c>
      <x:c r="D202" s="22" t="n">
        <x:v>46237.5</x:v>
      </x:c>
      <x:c r="E202" s="10" t="str">
        <x:v>ACT-012</x:v>
      </x:c>
      <x:c r="F202" s="10" t="str">
        <x:v>Humain</x:v>
      </x:c>
      <x:c r="G202" s="10" t="str">
        <x:v>Terminé</x:v>
      </x:c>
      <x:c r="H202" s="10" t="str">
        <x:v>SRC-103</x:v>
      </x:c>
      <x:c r="I202" s="10" t="str">
        <x:v>SYNTHETIQUE</x:v>
      </x:c>
    </x:row>
    <x:row r="203" ht="28" customHeight="1">
      <x:c r="A203" s="11" t="str">
        <x:v>EVT-198</x:v>
      </x:c>
      <x:c r="B203" s="11" t="str">
        <x:v>DOS-FICT-042</x:v>
      </x:c>
      <x:c r="C203" s="11" t="str">
        <x:v>Paiement préparé</x:v>
      </x:c>
      <x:c r="D203" s="23" t="n">
        <x:v>46237.520833333336</x:v>
      </x:c>
      <x:c r="E203" s="11" t="str">
        <x:v>ACT-012</x:v>
      </x:c>
      <x:c r="F203" s="11" t="str">
        <x:v>Humain</x:v>
      </x:c>
      <x:c r="G203" s="11" t="str">
        <x:v>Demande de paiement préparée</x:v>
      </x:c>
      <x:c r="H203" s="11" t="str">
        <x:v>SRC-103</x:v>
      </x:c>
      <x:c r="I203" s="11" t="str">
        <x:v>SYNTHETIQUE</x:v>
      </x:c>
    </x:row>
    <x:row r="204" ht="28" customHeight="1">
      <x:c r="A204" s="10" t="str">
        <x:v>EVT-199</x:v>
      </x:c>
      <x:c r="B204" s="10" t="str">
        <x:v>DOS-FICT-043</x:v>
      </x:c>
      <x:c r="C204" s="10" t="str">
        <x:v>Déclaration reçue</x:v>
      </x:c>
      <x:c r="D204" s="22" t="n">
        <x:v>46238.333333333336</x:v>
      </x:c>
      <x:c r="E204" s="10" t="str">
        <x:v>ACT-011</x:v>
      </x:c>
      <x:c r="F204" s="10" t="str">
        <x:v>Humain</x:v>
      </x:c>
      <x:c r="G204" s="10" t="str">
        <x:v>Terminé</x:v>
      </x:c>
      <x:c r="H204" s="10" t="str">
        <x:v>SRC-103</x:v>
      </x:c>
      <x:c r="I204" s="10" t="str">
        <x:v>SYNTHETIQUE</x:v>
      </x:c>
    </x:row>
    <x:row r="205" ht="28" customHeight="1">
      <x:c r="A205" s="11" t="str">
        <x:v>EVT-200</x:v>
      </x:c>
      <x:c r="B205" s="11" t="str">
        <x:v>DOS-FICT-043</x:v>
      </x:c>
      <x:c r="C205" s="11" t="str">
        <x:v>Pièces contrôlées</x:v>
      </x:c>
      <x:c r="D205" s="23" t="n">
        <x:v>46238.5</x:v>
      </x:c>
      <x:c r="E205" s="11" t="str">
        <x:v>ACT-011</x:v>
      </x:c>
      <x:c r="F205" s="11" t="str">
        <x:v>Humain</x:v>
      </x:c>
      <x:c r="G205" s="11" t="str">
        <x:v>Terminé</x:v>
      </x:c>
      <x:c r="H205" s="11" t="str">
        <x:v>SRC-103</x:v>
      </x:c>
      <x:c r="I205" s="11" t="str">
        <x:v>SYNTHETIQUE</x:v>
      </x:c>
    </x:row>
    <x:row r="206" ht="28" customHeight="1">
      <x:c r="A206" s="10" t="str">
        <x:v>EVT-201</x:v>
      </x:c>
      <x:c r="B206" s="10" t="str">
        <x:v>DOS-FICT-043</x:v>
      </x:c>
      <x:c r="C206" s="10" t="str">
        <x:v>Synthèse préparée</x:v>
      </x:c>
      <x:c r="D206" s="22" t="n">
        <x:v>46238.520833333336</x:v>
      </x:c>
      <x:c r="E206" s="10" t="str">
        <x:v>ACT-011</x:v>
      </x:c>
      <x:c r="F206" s="10" t="str">
        <x:v>AI-001</x:v>
      </x:c>
      <x:c r="G206" s="10" t="str">
        <x:v>Terminé</x:v>
      </x:c>
      <x:c r="H206" s="10" t="str">
        <x:v>SRC-103</x:v>
      </x:c>
      <x:c r="I206" s="10" t="str">
        <x:v>SYNTHETIQUE</x:v>
      </x:c>
    </x:row>
    <x:row r="207" ht="28" customHeight="1">
      <x:c r="A207" s="11" t="str">
        <x:v>EVT-202</x:v>
      </x:c>
      <x:c r="B207" s="11" t="str">
        <x:v>DOS-FICT-043</x:v>
      </x:c>
      <x:c r="C207" s="11" t="str">
        <x:v>Décision validée</x:v>
      </x:c>
      <x:c r="D207" s="23" t="n">
        <x:v>46238.541666666664</x:v>
      </x:c>
      <x:c r="E207" s="11" t="str">
        <x:v>ACT-012</x:v>
      </x:c>
      <x:c r="F207" s="11" t="str">
        <x:v>Humain</x:v>
      </x:c>
      <x:c r="G207" s="11" t="str">
        <x:v>Terminé</x:v>
      </x:c>
      <x:c r="H207" s="11" t="str">
        <x:v>SRC-103</x:v>
      </x:c>
      <x:c r="I207" s="11" t="str">
        <x:v>SYNTHETIQUE</x:v>
      </x:c>
    </x:row>
    <x:row r="208" ht="28" customHeight="1">
      <x:c r="A208" s="10" t="str">
        <x:v>EVT-203</x:v>
      </x:c>
      <x:c r="B208" s="10" t="str">
        <x:v>DOS-FICT-043</x:v>
      </x:c>
      <x:c r="C208" s="10" t="str">
        <x:v>Paiement préparé</x:v>
      </x:c>
      <x:c r="D208" s="22" t="n">
        <x:v>46238.5625</x:v>
      </x:c>
      <x:c r="E208" s="10" t="str">
        <x:v>ACT-012</x:v>
      </x:c>
      <x:c r="F208" s="10" t="str">
        <x:v>Humain</x:v>
      </x:c>
      <x:c r="G208" s="10" t="str">
        <x:v>Demande de paiement préparée</x:v>
      </x:c>
      <x:c r="H208" s="10" t="str">
        <x:v>SRC-103</x:v>
      </x:c>
      <x:c r="I208" s="10" t="str">
        <x:v>SYNTHETIQUE</x:v>
      </x:c>
    </x:row>
    <x:row r="209" ht="28" customHeight="1">
      <x:c r="A209" s="11" t="str">
        <x:v>EVT-204</x:v>
      </x:c>
      <x:c r="B209" s="11" t="str">
        <x:v>DOS-FICT-044</x:v>
      </x:c>
      <x:c r="C209" s="11" t="str">
        <x:v>Déclaration reçue</x:v>
      </x:c>
      <x:c r="D209" s="23" t="n">
        <x:v>46239.333333333336</x:v>
      </x:c>
      <x:c r="E209" s="11" t="str">
        <x:v>ACT-011</x:v>
      </x:c>
      <x:c r="F209" s="11" t="str">
        <x:v>Humain</x:v>
      </x:c>
      <x:c r="G209" s="11" t="str">
        <x:v>Terminé</x:v>
      </x:c>
      <x:c r="H209" s="11" t="str">
        <x:v>SRC-103</x:v>
      </x:c>
      <x:c r="I209" s="11" t="str">
        <x:v>SYNTHETIQUE</x:v>
      </x:c>
    </x:row>
    <x:row r="210" ht="28" customHeight="1">
      <x:c r="A210" s="10" t="str">
        <x:v>EVT-205</x:v>
      </x:c>
      <x:c r="B210" s="10" t="str">
        <x:v>DOS-FICT-044</x:v>
      </x:c>
      <x:c r="C210" s="10" t="str">
        <x:v>Pièces contrôlées</x:v>
      </x:c>
      <x:c r="D210" s="22" t="n">
        <x:v>46239.541666666664</x:v>
      </x:c>
      <x:c r="E210" s="10" t="str">
        <x:v>ACT-011</x:v>
      </x:c>
      <x:c r="F210" s="10" t="str">
        <x:v>Humain</x:v>
      </x:c>
      <x:c r="G210" s="10" t="str">
        <x:v>Terminé</x:v>
      </x:c>
      <x:c r="H210" s="10" t="str">
        <x:v>SRC-103</x:v>
      </x:c>
      <x:c r="I210" s="10" t="str">
        <x:v>SYNTHETIQUE</x:v>
      </x:c>
    </x:row>
    <x:row r="211" ht="28" customHeight="1">
      <x:c r="A211" s="11" t="str">
        <x:v>EVT-206</x:v>
      </x:c>
      <x:c r="B211" s="11" t="str">
        <x:v>DOS-FICT-044</x:v>
      </x:c>
      <x:c r="C211" s="11" t="str">
        <x:v>Synthèse préparée</x:v>
      </x:c>
      <x:c r="D211" s="23" t="n">
        <x:v>46239.5625</x:v>
      </x:c>
      <x:c r="E211" s="11" t="str">
        <x:v>ACT-011</x:v>
      </x:c>
      <x:c r="F211" s="11" t="str">
        <x:v>AI-001</x:v>
      </x:c>
      <x:c r="G211" s="11" t="str">
        <x:v>Terminé</x:v>
      </x:c>
      <x:c r="H211" s="11" t="str">
        <x:v>SRC-103</x:v>
      </x:c>
      <x:c r="I211" s="11" t="str">
        <x:v>SYNTHETIQUE</x:v>
      </x:c>
    </x:row>
    <x:row r="212" ht="28" customHeight="1">
      <x:c r="A212" s="10" t="str">
        <x:v>EVT-207</x:v>
      </x:c>
      <x:c r="B212" s="10" t="str">
        <x:v>DOS-FICT-044</x:v>
      </x:c>
      <x:c r="C212" s="10" t="str">
        <x:v>Décision validée</x:v>
      </x:c>
      <x:c r="D212" s="22" t="n">
        <x:v>46239.583333333336</x:v>
      </x:c>
      <x:c r="E212" s="10" t="str">
        <x:v>ACT-012</x:v>
      </x:c>
      <x:c r="F212" s="10" t="str">
        <x:v>Humain</x:v>
      </x:c>
      <x:c r="G212" s="10" t="str">
        <x:v>Terminé</x:v>
      </x:c>
      <x:c r="H212" s="10" t="str">
        <x:v>SRC-103</x:v>
      </x:c>
      <x:c r="I212" s="10" t="str">
        <x:v>SYNTHETIQUE</x:v>
      </x:c>
    </x:row>
    <x:row r="213" ht="28" customHeight="1">
      <x:c r="A213" s="11" t="str">
        <x:v>EVT-208</x:v>
      </x:c>
      <x:c r="B213" s="11" t="str">
        <x:v>DOS-FICT-044</x:v>
      </x:c>
      <x:c r="C213" s="11" t="str">
        <x:v>Paiement préparé</x:v>
      </x:c>
      <x:c r="D213" s="23" t="n">
        <x:v>46239.604166666664</x:v>
      </x:c>
      <x:c r="E213" s="11" t="str">
        <x:v>ACT-012</x:v>
      </x:c>
      <x:c r="F213" s="11" t="str">
        <x:v>Humain</x:v>
      </x:c>
      <x:c r="G213" s="11" t="str">
        <x:v>Demande de paiement préparée</x:v>
      </x:c>
      <x:c r="H213" s="11" t="str">
        <x:v>SRC-103</x:v>
      </x:c>
      <x:c r="I213" s="11" t="str">
        <x:v>SYNTHETIQUE</x:v>
      </x:c>
    </x:row>
    <x:row r="214" ht="28" customHeight="1">
      <x:c r="A214" s="10" t="str">
        <x:v>EVT-209</x:v>
      </x:c>
      <x:c r="B214" s="10" t="str">
        <x:v>DOS-FICT-045</x:v>
      </x:c>
      <x:c r="C214" s="10" t="str">
        <x:v>Déclaration reçue</x:v>
      </x:c>
      <x:c r="D214" s="22" t="n">
        <x:v>46240.333333333336</x:v>
      </x:c>
      <x:c r="E214" s="10" t="str">
        <x:v>ACT-011</x:v>
      </x:c>
      <x:c r="F214" s="10" t="str">
        <x:v>Humain</x:v>
      </x:c>
      <x:c r="G214" s="10" t="str">
        <x:v>Terminé</x:v>
      </x:c>
      <x:c r="H214" s="10" t="str">
        <x:v>SRC-103</x:v>
      </x:c>
      <x:c r="I214" s="10" t="str">
        <x:v>SYNTHETIQUE</x:v>
      </x:c>
    </x:row>
    <x:row r="215" ht="28" customHeight="1">
      <x:c r="A215" s="11" t="str">
        <x:v>EVT-210</x:v>
      </x:c>
      <x:c r="B215" s="11" t="str">
        <x:v>DOS-FICT-045</x:v>
      </x:c>
      <x:c r="C215" s="11" t="str">
        <x:v>Pièces contrôlées</x:v>
      </x:c>
      <x:c r="D215" s="23" t="n">
        <x:v>46240.375</x:v>
      </x:c>
      <x:c r="E215" s="11" t="str">
        <x:v>ACT-011</x:v>
      </x:c>
      <x:c r="F215" s="11" t="str">
        <x:v>Humain</x:v>
      </x:c>
      <x:c r="G215" s="11" t="str">
        <x:v>Terminé</x:v>
      </x:c>
      <x:c r="H215" s="11" t="str">
        <x:v>SRC-103</x:v>
      </x:c>
      <x:c r="I215" s="11" t="str">
        <x:v>SYNTHETIQUE</x:v>
      </x:c>
    </x:row>
    <x:row r="216" ht="28" customHeight="1">
      <x:c r="A216" s="10" t="str">
        <x:v>EVT-211</x:v>
      </x:c>
      <x:c r="B216" s="10" t="str">
        <x:v>DOS-FICT-045</x:v>
      </x:c>
      <x:c r="C216" s="10" t="str">
        <x:v>Synthèse préparée</x:v>
      </x:c>
      <x:c r="D216" s="22" t="n">
        <x:v>46240.395833333336</x:v>
      </x:c>
      <x:c r="E216" s="10" t="str">
        <x:v>ACT-011</x:v>
      </x:c>
      <x:c r="F216" s="10" t="str">
        <x:v>AI-001</x:v>
      </x:c>
      <x:c r="G216" s="10" t="str">
        <x:v>Terminé</x:v>
      </x:c>
      <x:c r="H216" s="10" t="str">
        <x:v>SRC-103</x:v>
      </x:c>
      <x:c r="I216" s="10" t="str">
        <x:v>SYNTHETIQUE</x:v>
      </x:c>
    </x:row>
    <x:row r="217" ht="28" customHeight="1">
      <x:c r="A217" s="11" t="str">
        <x:v>EVT-212</x:v>
      </x:c>
      <x:c r="B217" s="11" t="str">
        <x:v>DOS-FICT-045</x:v>
      </x:c>
      <x:c r="C217" s="11" t="str">
        <x:v>Décision validée</x:v>
      </x:c>
      <x:c r="D217" s="23" t="n">
        <x:v>46240.416666666664</x:v>
      </x:c>
      <x:c r="E217" s="11" t="str">
        <x:v>ACT-012</x:v>
      </x:c>
      <x:c r="F217" s="11" t="str">
        <x:v>Humain</x:v>
      </x:c>
      <x:c r="G217" s="11" t="str">
        <x:v>Terminé</x:v>
      </x:c>
      <x:c r="H217" s="11" t="str">
        <x:v>SRC-103</x:v>
      </x:c>
      <x:c r="I217" s="11" t="str">
        <x:v>SYNTHETIQUE</x:v>
      </x:c>
    </x:row>
    <x:row r="218" ht="28" customHeight="1">
      <x:c r="A218" s="10" t="str">
        <x:v>EVT-213</x:v>
      </x:c>
      <x:c r="B218" s="10" t="str">
        <x:v>DOS-FICT-045</x:v>
      </x:c>
      <x:c r="C218" s="10" t="str">
        <x:v>Paiement préparé</x:v>
      </x:c>
      <x:c r="D218" s="22" t="n">
        <x:v>46240.4375</x:v>
      </x:c>
      <x:c r="E218" s="10" t="str">
        <x:v>ACT-012</x:v>
      </x:c>
      <x:c r="F218" s="10" t="str">
        <x:v>Humain</x:v>
      </x:c>
      <x:c r="G218" s="10" t="str">
        <x:v>Demande de paiement préparée</x:v>
      </x:c>
      <x:c r="H218" s="10" t="str">
        <x:v>SRC-103</x:v>
      </x:c>
      <x:c r="I218" s="10" t="str">
        <x:v>SYNTHETIQUE</x:v>
      </x:c>
    </x:row>
    <x:row r="219" ht="28" customHeight="1">
      <x:c r="A219" s="11" t="str">
        <x:v>EVT-214</x:v>
      </x:c>
      <x:c r="B219" s="11" t="str">
        <x:v>DOS-FICT-046</x:v>
      </x:c>
      <x:c r="C219" s="11" t="str">
        <x:v>Déclaration reçue</x:v>
      </x:c>
      <x:c r="D219" s="23" t="n">
        <x:v>46241.333333333336</x:v>
      </x:c>
      <x:c r="E219" s="11" t="str">
        <x:v>ACT-011</x:v>
      </x:c>
      <x:c r="F219" s="11" t="str">
        <x:v>Humain</x:v>
      </x:c>
      <x:c r="G219" s="11" t="str">
        <x:v>Terminé</x:v>
      </x:c>
      <x:c r="H219" s="11" t="str">
        <x:v>SRC-103</x:v>
      </x:c>
      <x:c r="I219" s="11" t="str">
        <x:v>SYNTHETIQUE</x:v>
      </x:c>
    </x:row>
    <x:row r="220" ht="28" customHeight="1">
      <x:c r="A220" s="10" t="str">
        <x:v>EVT-215</x:v>
      </x:c>
      <x:c r="B220" s="10" t="str">
        <x:v>DOS-FICT-046</x:v>
      </x:c>
      <x:c r="C220" s="10" t="str">
        <x:v>Pièces contrôlées</x:v>
      </x:c>
      <x:c r="D220" s="22" t="n">
        <x:v>46241.416666666664</x:v>
      </x:c>
      <x:c r="E220" s="10" t="str">
        <x:v>ACT-011</x:v>
      </x:c>
      <x:c r="F220" s="10" t="str">
        <x:v>Humain</x:v>
      </x:c>
      <x:c r="G220" s="10" t="str">
        <x:v>Terminé</x:v>
      </x:c>
      <x:c r="H220" s="10" t="str">
        <x:v>SRC-103</x:v>
      </x:c>
      <x:c r="I220" s="10" t="str">
        <x:v>SYNTHETIQUE</x:v>
      </x:c>
    </x:row>
    <x:row r="221" ht="28" customHeight="1">
      <x:c r="A221" s="11" t="str">
        <x:v>EVT-216</x:v>
      </x:c>
      <x:c r="B221" s="11" t="str">
        <x:v>DOS-FICT-046</x:v>
      </x:c>
      <x:c r="C221" s="11" t="str">
        <x:v>Synthèse préparée</x:v>
      </x:c>
      <x:c r="D221" s="23" t="n">
        <x:v>46241.4375</x:v>
      </x:c>
      <x:c r="E221" s="11" t="str">
        <x:v>ACT-011</x:v>
      </x:c>
      <x:c r="F221" s="11" t="str">
        <x:v>AI-001</x:v>
      </x:c>
      <x:c r="G221" s="11" t="str">
        <x:v>Terminé</x:v>
      </x:c>
      <x:c r="H221" s="11" t="str">
        <x:v>SRC-103</x:v>
      </x:c>
      <x:c r="I221" s="11" t="str">
        <x:v>SYNTHETIQUE</x:v>
      </x:c>
    </x:row>
    <x:row r="222" ht="28" customHeight="1">
      <x:c r="A222" s="10" t="str">
        <x:v>EVT-217</x:v>
      </x:c>
      <x:c r="B222" s="10" t="str">
        <x:v>DOS-FICT-046</x:v>
      </x:c>
      <x:c r="C222" s="10" t="str">
        <x:v>Décision validée</x:v>
      </x:c>
      <x:c r="D222" s="22" t="n">
        <x:v>46241.458333333336</x:v>
      </x:c>
      <x:c r="E222" s="10" t="str">
        <x:v>ACT-012</x:v>
      </x:c>
      <x:c r="F222" s="10" t="str">
        <x:v>Humain</x:v>
      </x:c>
      <x:c r="G222" s="10" t="str">
        <x:v>Terminé</x:v>
      </x:c>
      <x:c r="H222" s="10" t="str">
        <x:v>SRC-103</x:v>
      </x:c>
      <x:c r="I222" s="10" t="str">
        <x:v>SYNTHETIQUE</x:v>
      </x:c>
    </x:row>
    <x:row r="223" ht="28" customHeight="1">
      <x:c r="A223" s="11" t="str">
        <x:v>EVT-218</x:v>
      </x:c>
      <x:c r="B223" s="11" t="str">
        <x:v>DOS-FICT-046</x:v>
      </x:c>
      <x:c r="C223" s="11" t="str">
        <x:v>Paiement préparé</x:v>
      </x:c>
      <x:c r="D223" s="23" t="n">
        <x:v>46241.479166666664</x:v>
      </x:c>
      <x:c r="E223" s="11" t="str">
        <x:v>ACT-012</x:v>
      </x:c>
      <x:c r="F223" s="11" t="str">
        <x:v>Humain</x:v>
      </x:c>
      <x:c r="G223" s="11" t="str">
        <x:v>Demande de paiement préparée</x:v>
      </x:c>
      <x:c r="H223" s="11" t="str">
        <x:v>SRC-103</x:v>
      </x:c>
      <x:c r="I223" s="11" t="str">
        <x:v>SYNTHETIQUE</x:v>
      </x:c>
    </x:row>
    <x:row r="224" ht="28" customHeight="1">
      <x:c r="A224" s="10" t="str">
        <x:v>EVT-219</x:v>
      </x:c>
      <x:c r="B224" s="10" t="str">
        <x:v>DOS-FICT-047</x:v>
      </x:c>
      <x:c r="C224" s="10" t="str">
        <x:v>Déclaration reçue</x:v>
      </x:c>
      <x:c r="D224" s="22" t="n">
        <x:v>46242.333333333336</x:v>
      </x:c>
      <x:c r="E224" s="10" t="str">
        <x:v>ACT-011</x:v>
      </x:c>
      <x:c r="F224" s="10" t="str">
        <x:v>Humain</x:v>
      </x:c>
      <x:c r="G224" s="10" t="str">
        <x:v>Terminé</x:v>
      </x:c>
      <x:c r="H224" s="10" t="str">
        <x:v>SRC-103</x:v>
      </x:c>
      <x:c r="I224" s="10" t="str">
        <x:v>SYNTHETIQUE</x:v>
      </x:c>
    </x:row>
    <x:row r="225" ht="28" customHeight="1">
      <x:c r="A225" s="11" t="str">
        <x:v>EVT-220</x:v>
      </x:c>
      <x:c r="B225" s="11" t="str">
        <x:v>DOS-FICT-047</x:v>
      </x:c>
      <x:c r="C225" s="11" t="str">
        <x:v>Pièces contrôlées</x:v>
      </x:c>
      <x:c r="D225" s="23" t="n">
        <x:v>46242.458333333336</x:v>
      </x:c>
      <x:c r="E225" s="11" t="str">
        <x:v>ACT-011</x:v>
      </x:c>
      <x:c r="F225" s="11" t="str">
        <x:v>Humain</x:v>
      </x:c>
      <x:c r="G225" s="11" t="str">
        <x:v>Terminé</x:v>
      </x:c>
      <x:c r="H225" s="11" t="str">
        <x:v>SRC-103</x:v>
      </x:c>
      <x:c r="I225" s="11" t="str">
        <x:v>SYNTHETIQUE</x:v>
      </x:c>
    </x:row>
    <x:row r="226" ht="28" customHeight="1">
      <x:c r="A226" s="10" t="str">
        <x:v>EVT-221</x:v>
      </x:c>
      <x:c r="B226" s="10" t="str">
        <x:v>DOS-FICT-047</x:v>
      </x:c>
      <x:c r="C226" s="10" t="str">
        <x:v>Synthèse préparée</x:v>
      </x:c>
      <x:c r="D226" s="22" t="n">
        <x:v>46242.479166666664</x:v>
      </x:c>
      <x:c r="E226" s="10" t="str">
        <x:v>ACT-011</x:v>
      </x:c>
      <x:c r="F226" s="10" t="str">
        <x:v>AI-001</x:v>
      </x:c>
      <x:c r="G226" s="10" t="str">
        <x:v>Terminé</x:v>
      </x:c>
      <x:c r="H226" s="10" t="str">
        <x:v>SRC-103</x:v>
      </x:c>
      <x:c r="I226" s="10" t="str">
        <x:v>SYNTHETIQUE</x:v>
      </x:c>
    </x:row>
    <x:row r="227" ht="28" customHeight="1">
      <x:c r="A227" s="11" t="str">
        <x:v>EVT-222</x:v>
      </x:c>
      <x:c r="B227" s="11" t="str">
        <x:v>DOS-FICT-047</x:v>
      </x:c>
      <x:c r="C227" s="11" t="str">
        <x:v>Décision validée</x:v>
      </x:c>
      <x:c r="D227" s="23" t="n">
        <x:v>46242.5</x:v>
      </x:c>
      <x:c r="E227" s="11" t="str">
        <x:v>ACT-012</x:v>
      </x:c>
      <x:c r="F227" s="11" t="str">
        <x:v>Humain</x:v>
      </x:c>
      <x:c r="G227" s="11" t="str">
        <x:v>Terminé</x:v>
      </x:c>
      <x:c r="H227" s="11" t="str">
        <x:v>SRC-103</x:v>
      </x:c>
      <x:c r="I227" s="11" t="str">
        <x:v>SYNTHETIQUE</x:v>
      </x:c>
    </x:row>
    <x:row r="228" ht="28" customHeight="1">
      <x:c r="A228" s="10" t="str">
        <x:v>EVT-223</x:v>
      </x:c>
      <x:c r="B228" s="10" t="str">
        <x:v>DOS-FICT-047</x:v>
      </x:c>
      <x:c r="C228" s="10" t="str">
        <x:v>Paiement préparé</x:v>
      </x:c>
      <x:c r="D228" s="22" t="n">
        <x:v>46242.520833333336</x:v>
      </x:c>
      <x:c r="E228" s="10" t="str">
        <x:v>ACT-012</x:v>
      </x:c>
      <x:c r="F228" s="10" t="str">
        <x:v>Humain</x:v>
      </x:c>
      <x:c r="G228" s="10" t="str">
        <x:v>Demande de paiement préparée</x:v>
      </x:c>
      <x:c r="H228" s="10" t="str">
        <x:v>SRC-103</x:v>
      </x:c>
      <x:c r="I228" s="10" t="str">
        <x:v>SYNTHETIQUE</x:v>
      </x:c>
    </x:row>
    <x:row r="229" ht="28" customHeight="1">
      <x:c r="A229" s="11" t="str">
        <x:v>EVT-224</x:v>
      </x:c>
      <x:c r="B229" s="11" t="str">
        <x:v>DOS-FICT-048</x:v>
      </x:c>
      <x:c r="C229" s="11" t="str">
        <x:v>Déclaration reçue</x:v>
      </x:c>
      <x:c r="D229" s="23" t="n">
        <x:v>46243.333333333336</x:v>
      </x:c>
      <x:c r="E229" s="11" t="str">
        <x:v>ACT-011</x:v>
      </x:c>
      <x:c r="F229" s="11" t="str">
        <x:v>Humain</x:v>
      </x:c>
      <x:c r="G229" s="11" t="str">
        <x:v>Terminé</x:v>
      </x:c>
      <x:c r="H229" s="11" t="str">
        <x:v>SRC-103</x:v>
      </x:c>
      <x:c r="I229" s="11" t="str">
        <x:v>SYNTHETIQUE</x:v>
      </x:c>
    </x:row>
    <x:row r="230" ht="28" customHeight="1">
      <x:c r="A230" s="10" t="str">
        <x:v>EVT-225</x:v>
      </x:c>
      <x:c r="B230" s="10" t="str">
        <x:v>DOS-FICT-048</x:v>
      </x:c>
      <x:c r="C230" s="10" t="str">
        <x:v>Pièces contrôlées</x:v>
      </x:c>
      <x:c r="D230" s="22" t="n">
        <x:v>46243.5</x:v>
      </x:c>
      <x:c r="E230" s="10" t="str">
        <x:v>ACT-011</x:v>
      </x:c>
      <x:c r="F230" s="10" t="str">
        <x:v>Humain</x:v>
      </x:c>
      <x:c r="G230" s="10" t="str">
        <x:v>Terminé</x:v>
      </x:c>
      <x:c r="H230" s="10" t="str">
        <x:v>SRC-103</x:v>
      </x:c>
      <x:c r="I230" s="10" t="str">
        <x:v>SYNTHETIQUE</x:v>
      </x:c>
    </x:row>
    <x:row r="231" ht="28" customHeight="1">
      <x:c r="A231" s="11" t="str">
        <x:v>EVT-226</x:v>
      </x:c>
      <x:c r="B231" s="11" t="str">
        <x:v>DOS-FICT-048</x:v>
      </x:c>
      <x:c r="C231" s="11" t="str">
        <x:v>Synthèse préparée</x:v>
      </x:c>
      <x:c r="D231" s="23" t="n">
        <x:v>46243.520833333336</x:v>
      </x:c>
      <x:c r="E231" s="11" t="str">
        <x:v>ACT-011</x:v>
      </x:c>
      <x:c r="F231" s="11" t="str">
        <x:v>AI-001</x:v>
      </x:c>
      <x:c r="G231" s="11" t="str">
        <x:v>Terminé</x:v>
      </x:c>
      <x:c r="H231" s="11" t="str">
        <x:v>SRC-103</x:v>
      </x:c>
      <x:c r="I231" s="11" t="str">
        <x:v>SYNTHETIQUE</x:v>
      </x:c>
    </x:row>
    <x:row r="232" ht="28" customHeight="1">
      <x:c r="A232" s="10" t="str">
        <x:v>EVT-227</x:v>
      </x:c>
      <x:c r="B232" s="10" t="str">
        <x:v>DOS-FICT-048</x:v>
      </x:c>
      <x:c r="C232" s="10" t="str">
        <x:v>Décision validée</x:v>
      </x:c>
      <x:c r="D232" s="22" t="n">
        <x:v>46243.541666666664</x:v>
      </x:c>
      <x:c r="E232" s="10" t="str">
        <x:v>ACT-012</x:v>
      </x:c>
      <x:c r="F232" s="10" t="str">
        <x:v>Humain</x:v>
      </x:c>
      <x:c r="G232" s="10" t="str">
        <x:v>Terminé</x:v>
      </x:c>
      <x:c r="H232" s="10" t="str">
        <x:v>SRC-103</x:v>
      </x:c>
      <x:c r="I232" s="10" t="str">
        <x:v>SYNTHETIQUE</x:v>
      </x:c>
    </x:row>
    <x:row r="233" ht="28" customHeight="1">
      <x:c r="A233" s="11" t="str">
        <x:v>EVT-228</x:v>
      </x:c>
      <x:c r="B233" s="11" t="str">
        <x:v>DOS-FICT-048</x:v>
      </x:c>
      <x:c r="C233" s="11" t="str">
        <x:v>Paiement préparé</x:v>
      </x:c>
      <x:c r="D233" s="23" t="n">
        <x:v>46243.5625</x:v>
      </x:c>
      <x:c r="E233" s="11" t="str">
        <x:v>ACT-012</x:v>
      </x:c>
      <x:c r="F233" s="11" t="str">
        <x:v>Humain</x:v>
      </x:c>
      <x:c r="G233" s="11" t="str">
        <x:v>Demande de paiement préparée</x:v>
      </x:c>
      <x:c r="H233" s="11" t="str">
        <x:v>SRC-103</x:v>
      </x:c>
      <x:c r="I233" s="11" t="str">
        <x:v>SYNTHETIQUE</x:v>
      </x:c>
    </x:row>
    <x:row r="234" ht="28" customHeight="1">
      <x:c r="A234" s="10" t="str">
        <x:v>EVT-229</x:v>
      </x:c>
      <x:c r="B234" s="10" t="str">
        <x:v>DOS-FICT-049</x:v>
      </x:c>
      <x:c r="C234" s="10" t="str">
        <x:v>Déclaration reçue</x:v>
      </x:c>
      <x:c r="D234" s="22" t="n">
        <x:v>46244.333333333336</x:v>
      </x:c>
      <x:c r="E234" s="10" t="str">
        <x:v>ACT-011</x:v>
      </x:c>
      <x:c r="F234" s="10" t="str">
        <x:v>Humain</x:v>
      </x:c>
      <x:c r="G234" s="10" t="str">
        <x:v>Terminé</x:v>
      </x:c>
      <x:c r="H234" s="10" t="str">
        <x:v>SRC-103</x:v>
      </x:c>
      <x:c r="I234" s="10" t="str">
        <x:v>SYNTHETIQUE</x:v>
      </x:c>
    </x:row>
    <x:row r="235" ht="28" customHeight="1">
      <x:c r="A235" s="11" t="str">
        <x:v>EVT-230</x:v>
      </x:c>
      <x:c r="B235" s="11" t="str">
        <x:v>DOS-FICT-049</x:v>
      </x:c>
      <x:c r="C235" s="11" t="str">
        <x:v>Pièces contrôlées</x:v>
      </x:c>
      <x:c r="D235" s="23" t="n">
        <x:v>46244.541666666664</x:v>
      </x:c>
      <x:c r="E235" s="11" t="str">
        <x:v>ACT-011</x:v>
      </x:c>
      <x:c r="F235" s="11" t="str">
        <x:v>Humain</x:v>
      </x:c>
      <x:c r="G235" s="11" t="str">
        <x:v>Terminé</x:v>
      </x:c>
      <x:c r="H235" s="11" t="str">
        <x:v>SRC-103</x:v>
      </x:c>
      <x:c r="I235" s="11" t="str">
        <x:v>SYNTHETIQUE</x:v>
      </x:c>
    </x:row>
    <x:row r="236" ht="28" customHeight="1">
      <x:c r="A236" s="10" t="str">
        <x:v>EVT-231</x:v>
      </x:c>
      <x:c r="B236" s="10" t="str">
        <x:v>DOS-FICT-049</x:v>
      </x:c>
      <x:c r="C236" s="10" t="str">
        <x:v>Synthèse préparée</x:v>
      </x:c>
      <x:c r="D236" s="22" t="n">
        <x:v>46244.5625</x:v>
      </x:c>
      <x:c r="E236" s="10" t="str">
        <x:v>ACT-011</x:v>
      </x:c>
      <x:c r="F236" s="10" t="str">
        <x:v>AI-001</x:v>
      </x:c>
      <x:c r="G236" s="10" t="str">
        <x:v>Terminé</x:v>
      </x:c>
      <x:c r="H236" s="10" t="str">
        <x:v>SRC-103</x:v>
      </x:c>
      <x:c r="I236" s="10" t="str">
        <x:v>SYNTHETIQUE</x:v>
      </x:c>
    </x:row>
    <x:row r="237" ht="28" customHeight="1">
      <x:c r="A237" s="11" t="str">
        <x:v>EVT-232</x:v>
      </x:c>
      <x:c r="B237" s="11" t="str">
        <x:v>DOS-FICT-049</x:v>
      </x:c>
      <x:c r="C237" s="11" t="str">
        <x:v>Décision validée</x:v>
      </x:c>
      <x:c r="D237" s="23" t="n">
        <x:v>46244.583333333336</x:v>
      </x:c>
      <x:c r="E237" s="11" t="str">
        <x:v>ACT-012</x:v>
      </x:c>
      <x:c r="F237" s="11" t="str">
        <x:v>Humain</x:v>
      </x:c>
      <x:c r="G237" s="11" t="str">
        <x:v>Terminé</x:v>
      </x:c>
      <x:c r="H237" s="11" t="str">
        <x:v>SRC-103</x:v>
      </x:c>
      <x:c r="I237" s="11" t="str">
        <x:v>SYNTHETIQUE</x:v>
      </x:c>
    </x:row>
    <x:row r="238" ht="28" customHeight="1">
      <x:c r="A238" s="10" t="str">
        <x:v>EVT-233</x:v>
      </x:c>
      <x:c r="B238" s="10" t="str">
        <x:v>DOS-FICT-049</x:v>
      </x:c>
      <x:c r="C238" s="10" t="str">
        <x:v>Paiement préparé</x:v>
      </x:c>
      <x:c r="D238" s="22" t="n">
        <x:v>46244.604166666664</x:v>
      </x:c>
      <x:c r="E238" s="10" t="str">
        <x:v>ACT-012</x:v>
      </x:c>
      <x:c r="F238" s="10" t="str">
        <x:v>Humain</x:v>
      </x:c>
      <x:c r="G238" s="10" t="str">
        <x:v>Demande de paiement préparée</x:v>
      </x:c>
      <x:c r="H238" s="10" t="str">
        <x:v>SRC-103</x:v>
      </x:c>
      <x:c r="I238" s="10" t="str">
        <x:v>SYNTHETIQUE</x:v>
      </x:c>
    </x:row>
    <x:row r="239" ht="28" customHeight="1">
      <x:c r="A239" s="11" t="str">
        <x:v>EVT-234</x:v>
      </x:c>
      <x:c r="B239" s="11" t="str">
        <x:v>DOS-FICT-050</x:v>
      </x:c>
      <x:c r="C239" s="11" t="str">
        <x:v>Déclaration reçue</x:v>
      </x:c>
      <x:c r="D239" s="23" t="n">
        <x:v>46245.333333333336</x:v>
      </x:c>
      <x:c r="E239" s="11" t="str">
        <x:v>ACT-011</x:v>
      </x:c>
      <x:c r="F239" s="11" t="str">
        <x:v>Humain</x:v>
      </x:c>
      <x:c r="G239" s="11" t="str">
        <x:v>Terminé</x:v>
      </x:c>
      <x:c r="H239" s="11" t="str">
        <x:v>SRC-103</x:v>
      </x:c>
      <x:c r="I239" s="11" t="str">
        <x:v>SYNTHETIQUE</x:v>
      </x:c>
    </x:row>
    <x:row r="240" ht="28" customHeight="1">
      <x:c r="A240" s="10" t="str">
        <x:v>EVT-235</x:v>
      </x:c>
      <x:c r="B240" s="10" t="str">
        <x:v>DOS-FICT-050</x:v>
      </x:c>
      <x:c r="C240" s="10" t="str">
        <x:v>Pièces contrôlées</x:v>
      </x:c>
      <x:c r="D240" s="22" t="n">
        <x:v>46245.375</x:v>
      </x:c>
      <x:c r="E240" s="10" t="str">
        <x:v>ACT-011</x:v>
      </x:c>
      <x:c r="F240" s="10" t="str">
        <x:v>Humain</x:v>
      </x:c>
      <x:c r="G240" s="10" t="str">
        <x:v>Terminé</x:v>
      </x:c>
      <x:c r="H240" s="10" t="str">
        <x:v>SRC-103</x:v>
      </x:c>
      <x:c r="I240" s="10" t="str">
        <x:v>SYNTHETIQUE</x:v>
      </x:c>
    </x:row>
    <x:row r="241" ht="28" customHeight="1">
      <x:c r="A241" s="11" t="str">
        <x:v>EVT-236</x:v>
      </x:c>
      <x:c r="B241" s="11" t="str">
        <x:v>DOS-FICT-050</x:v>
      </x:c>
      <x:c r="C241" s="11" t="str">
        <x:v>Synthèse préparée</x:v>
      </x:c>
      <x:c r="D241" s="23" t="n">
        <x:v>46245.395833333336</x:v>
      </x:c>
      <x:c r="E241" s="11" t="str">
        <x:v>ACT-011</x:v>
      </x:c>
      <x:c r="F241" s="11" t="str">
        <x:v>AI-001</x:v>
      </x:c>
      <x:c r="G241" s="11" t="str">
        <x:v>Terminé</x:v>
      </x:c>
      <x:c r="H241" s="11" t="str">
        <x:v>SRC-103</x:v>
      </x:c>
      <x:c r="I241" s="11" t="str">
        <x:v>SYNTHETIQUE</x:v>
      </x:c>
    </x:row>
    <x:row r="242" ht="28" customHeight="1">
      <x:c r="A242" s="10" t="str">
        <x:v>EVT-237</x:v>
      </x:c>
      <x:c r="B242" s="10" t="str">
        <x:v>DOS-FICT-050</x:v>
      </x:c>
      <x:c r="C242" s="10" t="str">
        <x:v>Décision validée</x:v>
      </x:c>
      <x:c r="D242" s="22" t="n">
        <x:v>46245.416666666664</x:v>
      </x:c>
      <x:c r="E242" s="10" t="str">
        <x:v>ACT-012</x:v>
      </x:c>
      <x:c r="F242" s="10" t="str">
        <x:v>Humain</x:v>
      </x:c>
      <x:c r="G242" s="10" t="str">
        <x:v>Terminé</x:v>
      </x:c>
      <x:c r="H242" s="10" t="str">
        <x:v>SRC-103</x:v>
      </x:c>
      <x:c r="I242" s="10" t="str">
        <x:v>SYNTHETIQUE</x:v>
      </x:c>
    </x:row>
    <x:row r="243" ht="28" customHeight="1">
      <x:c r="A243" s="11" t="str">
        <x:v>EVT-238</x:v>
      </x:c>
      <x:c r="B243" s="11" t="str">
        <x:v>DOS-FICT-050</x:v>
      </x:c>
      <x:c r="C243" s="11" t="str">
        <x:v>Paiement préparé</x:v>
      </x:c>
      <x:c r="D243" s="23" t="n">
        <x:v>46245.4375</x:v>
      </x:c>
      <x:c r="E243" s="11" t="str">
        <x:v>ACT-012</x:v>
      </x:c>
      <x:c r="F243" s="11" t="str">
        <x:v>Humain</x:v>
      </x:c>
      <x:c r="G243" s="11" t="str">
        <x:v>Demande de paiement préparée</x:v>
      </x:c>
      <x:c r="H243" s="11" t="str">
        <x:v>SRC-103</x:v>
      </x:c>
      <x:c r="I243" s="11" t="str">
        <x:v>SYNTHETIQUE</x:v>
      </x:c>
    </x:row>
    <x:row r="244" ht="28" customHeight="1">
      <x:c r="A244" s="10" t="str">
        <x:v>EVT-239</x:v>
      </x:c>
      <x:c r="B244" s="10" t="str">
        <x:v>DOS-FICT-051</x:v>
      </x:c>
      <x:c r="C244" s="10" t="str">
        <x:v>Déclaration reçue</x:v>
      </x:c>
      <x:c r="D244" s="22" t="n">
        <x:v>46246.333333333336</x:v>
      </x:c>
      <x:c r="E244" s="10" t="str">
        <x:v>ACT-011</x:v>
      </x:c>
      <x:c r="F244" s="10" t="str">
        <x:v>Humain</x:v>
      </x:c>
      <x:c r="G244" s="10" t="str">
        <x:v>Terminé</x:v>
      </x:c>
      <x:c r="H244" s="10" t="str">
        <x:v>SRC-103</x:v>
      </x:c>
      <x:c r="I244" s="10" t="str">
        <x:v>SYNTHETIQUE</x:v>
      </x:c>
    </x:row>
    <x:row r="245" ht="28" customHeight="1">
      <x:c r="A245" s="11" t="str">
        <x:v>EVT-240</x:v>
      </x:c>
      <x:c r="B245" s="11" t="str">
        <x:v>DOS-FICT-051</x:v>
      </x:c>
      <x:c r="C245" s="11" t="str">
        <x:v>Pièces contrôlées</x:v>
      </x:c>
      <x:c r="D245" s="23" t="n">
        <x:v>46246.416666666664</x:v>
      </x:c>
      <x:c r="E245" s="11" t="str">
        <x:v>ACT-011</x:v>
      </x:c>
      <x:c r="F245" s="11" t="str">
        <x:v>Humain</x:v>
      </x:c>
      <x:c r="G245" s="11" t="str">
        <x:v>Terminé</x:v>
      </x:c>
      <x:c r="H245" s="11" t="str">
        <x:v>SRC-103</x:v>
      </x:c>
      <x:c r="I245" s="11" t="str">
        <x:v>SYNTHETIQUE</x:v>
      </x:c>
    </x:row>
    <x:row r="246" ht="28" customHeight="1">
      <x:c r="A246" s="10" t="str">
        <x:v>EVT-241</x:v>
      </x:c>
      <x:c r="B246" s="10" t="str">
        <x:v>DOS-FICT-051</x:v>
      </x:c>
      <x:c r="C246" s="10" t="str">
        <x:v>Synthèse préparée</x:v>
      </x:c>
      <x:c r="D246" s="22" t="n">
        <x:v>46246.4375</x:v>
      </x:c>
      <x:c r="E246" s="10" t="str">
        <x:v>ACT-011</x:v>
      </x:c>
      <x:c r="F246" s="10" t="str">
        <x:v>AI-001</x:v>
      </x:c>
      <x:c r="G246" s="10" t="str">
        <x:v>Terminé</x:v>
      </x:c>
      <x:c r="H246" s="10" t="str">
        <x:v>SRC-103</x:v>
      </x:c>
      <x:c r="I246" s="10" t="str">
        <x:v>SYNTHETIQUE</x:v>
      </x:c>
    </x:row>
    <x:row r="247" ht="28" customHeight="1">
      <x:c r="A247" s="11" t="str">
        <x:v>EVT-242</x:v>
      </x:c>
      <x:c r="B247" s="11" t="str">
        <x:v>DOS-FICT-051</x:v>
      </x:c>
      <x:c r="C247" s="11" t="str">
        <x:v>Décision validée</x:v>
      </x:c>
      <x:c r="D247" s="23" t="n">
        <x:v>46246.458333333336</x:v>
      </x:c>
      <x:c r="E247" s="11" t="str">
        <x:v>ACT-012</x:v>
      </x:c>
      <x:c r="F247" s="11" t="str">
        <x:v>Humain</x:v>
      </x:c>
      <x:c r="G247" s="11" t="str">
        <x:v>Terminé</x:v>
      </x:c>
      <x:c r="H247" s="11" t="str">
        <x:v>SRC-103</x:v>
      </x:c>
      <x:c r="I247" s="11" t="str">
        <x:v>SYNTHETIQUE</x:v>
      </x:c>
    </x:row>
    <x:row r="248" ht="28" customHeight="1">
      <x:c r="A248" s="10" t="str">
        <x:v>EVT-243</x:v>
      </x:c>
      <x:c r="B248" s="10" t="str">
        <x:v>DOS-FICT-051</x:v>
      </x:c>
      <x:c r="C248" s="10" t="str">
        <x:v>Paiement préparé</x:v>
      </x:c>
      <x:c r="D248" s="22" t="n">
        <x:v>46246.479166666664</x:v>
      </x:c>
      <x:c r="E248" s="10" t="str">
        <x:v>ACT-012</x:v>
      </x:c>
      <x:c r="F248" s="10" t="str">
        <x:v>Humain</x:v>
      </x:c>
      <x:c r="G248" s="10" t="str">
        <x:v>Demande de paiement préparée</x:v>
      </x:c>
      <x:c r="H248" s="10" t="str">
        <x:v>SRC-103</x:v>
      </x:c>
      <x:c r="I248" s="10" t="str">
        <x:v>SYNTHETIQUE</x:v>
      </x:c>
    </x:row>
    <x:row r="249" ht="28" customHeight="1">
      <x:c r="A249" s="11" t="str">
        <x:v>EVT-244</x:v>
      </x:c>
      <x:c r="B249" s="11" t="str">
        <x:v>DOS-FICT-052</x:v>
      </x:c>
      <x:c r="C249" s="11" t="str">
        <x:v>Déclaration reçue</x:v>
      </x:c>
      <x:c r="D249" s="23" t="n">
        <x:v>46247.333333333336</x:v>
      </x:c>
      <x:c r="E249" s="11" t="str">
        <x:v>ACT-011</x:v>
      </x:c>
      <x:c r="F249" s="11" t="str">
        <x:v>Humain</x:v>
      </x:c>
      <x:c r="G249" s="11" t="str">
        <x:v>Terminé</x:v>
      </x:c>
      <x:c r="H249" s="11" t="str">
        <x:v>SRC-103</x:v>
      </x:c>
      <x:c r="I249" s="11" t="str">
        <x:v>SYNTHETIQUE</x:v>
      </x:c>
    </x:row>
    <x:row r="250" ht="28" customHeight="1">
      <x:c r="A250" s="10" t="str">
        <x:v>EVT-245</x:v>
      </x:c>
      <x:c r="B250" s="10" t="str">
        <x:v>DOS-FICT-052</x:v>
      </x:c>
      <x:c r="C250" s="10" t="str">
        <x:v>Pièces contrôlées</x:v>
      </x:c>
      <x:c r="D250" s="22" t="n">
        <x:v>46247.458333333336</x:v>
      </x:c>
      <x:c r="E250" s="10" t="str">
        <x:v>ACT-011</x:v>
      </x:c>
      <x:c r="F250" s="10" t="str">
        <x:v>Humain</x:v>
      </x:c>
      <x:c r="G250" s="10" t="str">
        <x:v>Terminé</x:v>
      </x:c>
      <x:c r="H250" s="10" t="str">
        <x:v>SRC-103</x:v>
      </x:c>
      <x:c r="I250" s="10" t="str">
        <x:v>SYNTHETIQUE</x:v>
      </x:c>
    </x:row>
    <x:row r="251" ht="28" customHeight="1">
      <x:c r="A251" s="11" t="str">
        <x:v>EVT-246</x:v>
      </x:c>
      <x:c r="B251" s="11" t="str">
        <x:v>DOS-FICT-052</x:v>
      </x:c>
      <x:c r="C251" s="11" t="str">
        <x:v>Synthèse préparée</x:v>
      </x:c>
      <x:c r="D251" s="23" t="n">
        <x:v>46247.479166666664</x:v>
      </x:c>
      <x:c r="E251" s="11" t="str">
        <x:v>ACT-011</x:v>
      </x:c>
      <x:c r="F251" s="11" t="str">
        <x:v>AI-001</x:v>
      </x:c>
      <x:c r="G251" s="11" t="str">
        <x:v>Terminé</x:v>
      </x:c>
      <x:c r="H251" s="11" t="str">
        <x:v>SRC-103</x:v>
      </x:c>
      <x:c r="I251" s="11" t="str">
        <x:v>SYNTHETIQUE</x:v>
      </x:c>
    </x:row>
    <x:row r="252" ht="28" customHeight="1">
      <x:c r="A252" s="10" t="str">
        <x:v>EVT-247</x:v>
      </x:c>
      <x:c r="B252" s="10" t="str">
        <x:v>DOS-FICT-052</x:v>
      </x:c>
      <x:c r="C252" s="10" t="str">
        <x:v>Décision validée</x:v>
      </x:c>
      <x:c r="D252" s="22" t="n">
        <x:v>46247.5</x:v>
      </x:c>
      <x:c r="E252" s="10" t="str">
        <x:v>ACT-012</x:v>
      </x:c>
      <x:c r="F252" s="10" t="str">
        <x:v>Humain</x:v>
      </x:c>
      <x:c r="G252" s="10" t="str">
        <x:v>Terminé</x:v>
      </x:c>
      <x:c r="H252" s="10" t="str">
        <x:v>SRC-103</x:v>
      </x:c>
      <x:c r="I252" s="10" t="str">
        <x:v>SYNTHETIQUE</x:v>
      </x:c>
    </x:row>
    <x:row r="253" ht="28" customHeight="1">
      <x:c r="A253" s="11" t="str">
        <x:v>EVT-248</x:v>
      </x:c>
      <x:c r="B253" s="11" t="str">
        <x:v>DOS-FICT-052</x:v>
      </x:c>
      <x:c r="C253" s="11" t="str">
        <x:v>Paiement préparé</x:v>
      </x:c>
      <x:c r="D253" s="23" t="n">
        <x:v>46247.520833333336</x:v>
      </x:c>
      <x:c r="E253" s="11" t="str">
        <x:v>ACT-012</x:v>
      </x:c>
      <x:c r="F253" s="11" t="str">
        <x:v>Humain</x:v>
      </x:c>
      <x:c r="G253" s="11" t="str">
        <x:v>Demande de paiement préparée</x:v>
      </x:c>
      <x:c r="H253" s="11" t="str">
        <x:v>SRC-103</x:v>
      </x:c>
      <x:c r="I253" s="11" t="str">
        <x:v>SYNTHETIQUE</x:v>
      </x:c>
    </x:row>
    <x:row r="254" ht="28" customHeight="1">
      <x:c r="A254" s="10" t="str">
        <x:v>EVT-249</x:v>
      </x:c>
      <x:c r="B254" s="10" t="str">
        <x:v>DOS-FICT-053</x:v>
      </x:c>
      <x:c r="C254" s="10" t="str">
        <x:v>Déclaration reçue</x:v>
      </x:c>
      <x:c r="D254" s="22" t="n">
        <x:v>46248.333333333336</x:v>
      </x:c>
      <x:c r="E254" s="10" t="str">
        <x:v>ACT-011</x:v>
      </x:c>
      <x:c r="F254" s="10" t="str">
        <x:v>Humain</x:v>
      </x:c>
      <x:c r="G254" s="10" t="str">
        <x:v>Terminé</x:v>
      </x:c>
      <x:c r="H254" s="10" t="str">
        <x:v>SRC-103</x:v>
      </x:c>
      <x:c r="I254" s="10" t="str">
        <x:v>SYNTHETIQUE</x:v>
      </x:c>
    </x:row>
    <x:row r="255" ht="28" customHeight="1">
      <x:c r="A255" s="11" t="str">
        <x:v>EVT-250</x:v>
      </x:c>
      <x:c r="B255" s="11" t="str">
        <x:v>DOS-FICT-053</x:v>
      </x:c>
      <x:c r="C255" s="11" t="str">
        <x:v>Pièces contrôlées</x:v>
      </x:c>
      <x:c r="D255" s="23" t="n">
        <x:v>46248.5</x:v>
      </x:c>
      <x:c r="E255" s="11" t="str">
        <x:v>ACT-011</x:v>
      </x:c>
      <x:c r="F255" s="11" t="str">
        <x:v>Humain</x:v>
      </x:c>
      <x:c r="G255" s="11" t="str">
        <x:v>Terminé</x:v>
      </x:c>
      <x:c r="H255" s="11" t="str">
        <x:v>SRC-103</x:v>
      </x:c>
      <x:c r="I255" s="11" t="str">
        <x:v>SYNTHETIQUE</x:v>
      </x:c>
    </x:row>
    <x:row r="256" ht="28" customHeight="1">
      <x:c r="A256" s="10" t="str">
        <x:v>EVT-251</x:v>
      </x:c>
      <x:c r="B256" s="10" t="str">
        <x:v>DOS-FICT-053</x:v>
      </x:c>
      <x:c r="C256" s="10" t="str">
        <x:v>Synthèse préparée</x:v>
      </x:c>
      <x:c r="D256" s="22" t="n">
        <x:v>46248.520833333336</x:v>
      </x:c>
      <x:c r="E256" s="10" t="str">
        <x:v>ACT-011</x:v>
      </x:c>
      <x:c r="F256" s="10" t="str">
        <x:v>AI-001</x:v>
      </x:c>
      <x:c r="G256" s="10" t="str">
        <x:v>Terminé</x:v>
      </x:c>
      <x:c r="H256" s="10" t="str">
        <x:v>SRC-103</x:v>
      </x:c>
      <x:c r="I256" s="10" t="str">
        <x:v>SYNTHETIQUE</x:v>
      </x:c>
    </x:row>
    <x:row r="257" ht="28" customHeight="1">
      <x:c r="A257" s="11" t="str">
        <x:v>EVT-252</x:v>
      </x:c>
      <x:c r="B257" s="11" t="str">
        <x:v>DOS-FICT-053</x:v>
      </x:c>
      <x:c r="C257" s="11" t="str">
        <x:v>Décision validée</x:v>
      </x:c>
      <x:c r="D257" s="23" t="n">
        <x:v>46248.541666666664</x:v>
      </x:c>
      <x:c r="E257" s="11" t="str">
        <x:v>ACT-012</x:v>
      </x:c>
      <x:c r="F257" s="11" t="str">
        <x:v>Humain</x:v>
      </x:c>
      <x:c r="G257" s="11" t="str">
        <x:v>Terminé</x:v>
      </x:c>
      <x:c r="H257" s="11" t="str">
        <x:v>SRC-103</x:v>
      </x:c>
      <x:c r="I257" s="11" t="str">
        <x:v>SYNTHETIQUE</x:v>
      </x:c>
    </x:row>
    <x:row r="258" ht="28" customHeight="1">
      <x:c r="A258" s="10" t="str">
        <x:v>EVT-253</x:v>
      </x:c>
      <x:c r="B258" s="10" t="str">
        <x:v>DOS-FICT-053</x:v>
      </x:c>
      <x:c r="C258" s="10" t="str">
        <x:v>Paiement préparé</x:v>
      </x:c>
      <x:c r="D258" s="22" t="n">
        <x:v>46248.5625</x:v>
      </x:c>
      <x:c r="E258" s="10" t="str">
        <x:v>ACT-012</x:v>
      </x:c>
      <x:c r="F258" s="10" t="str">
        <x:v>Humain</x:v>
      </x:c>
      <x:c r="G258" s="10" t="str">
        <x:v>Demande de paiement préparée</x:v>
      </x:c>
      <x:c r="H258" s="10" t="str">
        <x:v>SRC-103</x:v>
      </x:c>
      <x:c r="I258" s="10" t="str">
        <x:v>SYNTHETIQUE</x:v>
      </x:c>
    </x:row>
    <x:row r="259" ht="28" customHeight="1">
      <x:c r="A259" s="11" t="str">
        <x:v>EVT-254</x:v>
      </x:c>
      <x:c r="B259" s="11" t="str">
        <x:v>DOS-FICT-054</x:v>
      </x:c>
      <x:c r="C259" s="11" t="str">
        <x:v>Déclaration reçue</x:v>
      </x:c>
      <x:c r="D259" s="23" t="n">
        <x:v>46249.333333333336</x:v>
      </x:c>
      <x:c r="E259" s="11" t="str">
        <x:v>ACT-011</x:v>
      </x:c>
      <x:c r="F259" s="11" t="str">
        <x:v>Humain</x:v>
      </x:c>
      <x:c r="G259" s="11" t="str">
        <x:v>Terminé</x:v>
      </x:c>
      <x:c r="H259" s="11" t="str">
        <x:v>SRC-103</x:v>
      </x:c>
      <x:c r="I259" s="11" t="str">
        <x:v>SYNTHETIQUE</x:v>
      </x:c>
    </x:row>
    <x:row r="260" ht="28" customHeight="1">
      <x:c r="A260" s="10" t="str">
        <x:v>EVT-255</x:v>
      </x:c>
      <x:c r="B260" s="10" t="str">
        <x:v>DOS-FICT-054</x:v>
      </x:c>
      <x:c r="C260" s="10" t="str">
        <x:v>Pièces contrôlées</x:v>
      </x:c>
      <x:c r="D260" s="22" t="n">
        <x:v>46249.541666666664</x:v>
      </x:c>
      <x:c r="E260" s="10" t="str">
        <x:v>ACT-011</x:v>
      </x:c>
      <x:c r="F260" s="10" t="str">
        <x:v>Humain</x:v>
      </x:c>
      <x:c r="G260" s="10" t="str">
        <x:v>Terminé</x:v>
      </x:c>
      <x:c r="H260" s="10" t="str">
        <x:v>SRC-103</x:v>
      </x:c>
      <x:c r="I260" s="10" t="str">
        <x:v>SYNTHETIQUE</x:v>
      </x:c>
    </x:row>
    <x:row r="261" ht="28" customHeight="1">
      <x:c r="A261" s="11" t="str">
        <x:v>EVT-256</x:v>
      </x:c>
      <x:c r="B261" s="11" t="str">
        <x:v>DOS-FICT-054</x:v>
      </x:c>
      <x:c r="C261" s="11" t="str">
        <x:v>Synthèse préparée</x:v>
      </x:c>
      <x:c r="D261" s="23" t="n">
        <x:v>46249.5625</x:v>
      </x:c>
      <x:c r="E261" s="11" t="str">
        <x:v>ACT-011</x:v>
      </x:c>
      <x:c r="F261" s="11" t="str">
        <x:v>AI-001</x:v>
      </x:c>
      <x:c r="G261" s="11" t="str">
        <x:v>Terminé</x:v>
      </x:c>
      <x:c r="H261" s="11" t="str">
        <x:v>SRC-103</x:v>
      </x:c>
      <x:c r="I261" s="11" t="str">
        <x:v>SYNTHETIQUE</x:v>
      </x:c>
    </x:row>
    <x:row r="262" ht="28" customHeight="1">
      <x:c r="A262" s="10" t="str">
        <x:v>EVT-257</x:v>
      </x:c>
      <x:c r="B262" s="10" t="str">
        <x:v>DOS-FICT-054</x:v>
      </x:c>
      <x:c r="C262" s="10" t="str">
        <x:v>Décision validée</x:v>
      </x:c>
      <x:c r="D262" s="22" t="n">
        <x:v>46249.583333333336</x:v>
      </x:c>
      <x:c r="E262" s="10" t="str">
        <x:v>ACT-012</x:v>
      </x:c>
      <x:c r="F262" s="10" t="str">
        <x:v>Humain</x:v>
      </x:c>
      <x:c r="G262" s="10" t="str">
        <x:v>Terminé</x:v>
      </x:c>
      <x:c r="H262" s="10" t="str">
        <x:v>SRC-103</x:v>
      </x:c>
      <x:c r="I262" s="10" t="str">
        <x:v>SYNTHETIQUE</x:v>
      </x:c>
    </x:row>
    <x:row r="263" ht="28" customHeight="1">
      <x:c r="A263" s="11" t="str">
        <x:v>EVT-258</x:v>
      </x:c>
      <x:c r="B263" s="11" t="str">
        <x:v>DOS-FICT-054</x:v>
      </x:c>
      <x:c r="C263" s="11" t="str">
        <x:v>Paiement préparé</x:v>
      </x:c>
      <x:c r="D263" s="23" t="n">
        <x:v>46249.604166666664</x:v>
      </x:c>
      <x:c r="E263" s="11" t="str">
        <x:v>ACT-012</x:v>
      </x:c>
      <x:c r="F263" s="11" t="str">
        <x:v>Humain</x:v>
      </x:c>
      <x:c r="G263" s="11" t="str">
        <x:v>Demande de paiement préparée</x:v>
      </x:c>
      <x:c r="H263" s="11" t="str">
        <x:v>SRC-103</x:v>
      </x:c>
      <x:c r="I263" s="11" t="str">
        <x:v>SYNTHETIQUE</x:v>
      </x:c>
    </x:row>
    <x:row r="264" ht="28" customHeight="1">
      <x:c r="A264" s="10" t="str">
        <x:v>EVT-259</x:v>
      </x:c>
      <x:c r="B264" s="10" t="str">
        <x:v>DOS-FICT-055</x:v>
      </x:c>
      <x:c r="C264" s="10" t="str">
        <x:v>Déclaration reçue</x:v>
      </x:c>
      <x:c r="D264" s="22" t="n">
        <x:v>46250.333333333336</x:v>
      </x:c>
      <x:c r="E264" s="10" t="str">
        <x:v>ACT-011</x:v>
      </x:c>
      <x:c r="F264" s="10" t="str">
        <x:v>Humain</x:v>
      </x:c>
      <x:c r="G264" s="10" t="str">
        <x:v>Terminé</x:v>
      </x:c>
      <x:c r="H264" s="10" t="str">
        <x:v>SRC-103</x:v>
      </x:c>
      <x:c r="I264" s="10" t="str">
        <x:v>SYNTHETIQUE</x:v>
      </x:c>
    </x:row>
    <x:row r="265" ht="28" customHeight="1">
      <x:c r="A265" s="11" t="str">
        <x:v>EVT-260</x:v>
      </x:c>
      <x:c r="B265" s="11" t="str">
        <x:v>DOS-FICT-055</x:v>
      </x:c>
      <x:c r="C265" s="11" t="str">
        <x:v>Pièces contrôlées</x:v>
      </x:c>
      <x:c r="D265" s="23" t="n">
        <x:v>46250.375</x:v>
      </x:c>
      <x:c r="E265" s="11" t="str">
        <x:v>ACT-011</x:v>
      </x:c>
      <x:c r="F265" s="11" t="str">
        <x:v>Humain</x:v>
      </x:c>
      <x:c r="G265" s="11" t="str">
        <x:v>Terminé</x:v>
      </x:c>
      <x:c r="H265" s="11" t="str">
        <x:v>SRC-103</x:v>
      </x:c>
      <x:c r="I265" s="11" t="str">
        <x:v>SYNTHETIQUE</x:v>
      </x:c>
    </x:row>
    <x:row r="266" ht="28" customHeight="1">
      <x:c r="A266" s="10" t="str">
        <x:v>EVT-261</x:v>
      </x:c>
      <x:c r="B266" s="10" t="str">
        <x:v>DOS-FICT-055</x:v>
      </x:c>
      <x:c r="C266" s="10" t="str">
        <x:v>Synthèse préparée</x:v>
      </x:c>
      <x:c r="D266" s="22" t="n">
        <x:v>46250.395833333336</x:v>
      </x:c>
      <x:c r="E266" s="10" t="str">
        <x:v>ACT-011</x:v>
      </x:c>
      <x:c r="F266" s="10" t="str">
        <x:v>AI-001</x:v>
      </x:c>
      <x:c r="G266" s="10" t="str">
        <x:v>Terminé</x:v>
      </x:c>
      <x:c r="H266" s="10" t="str">
        <x:v>SRC-103</x:v>
      </x:c>
      <x:c r="I266" s="10" t="str">
        <x:v>SYNTHETIQUE</x:v>
      </x:c>
    </x:row>
    <x:row r="267" ht="28" customHeight="1">
      <x:c r="A267" s="11" t="str">
        <x:v>EVT-262</x:v>
      </x:c>
      <x:c r="B267" s="11" t="str">
        <x:v>DOS-FICT-055</x:v>
      </x:c>
      <x:c r="C267" s="11" t="str">
        <x:v>Décision validée</x:v>
      </x:c>
      <x:c r="D267" s="23" t="n">
        <x:v>46250.416666666664</x:v>
      </x:c>
      <x:c r="E267" s="11" t="str">
        <x:v>ACT-012</x:v>
      </x:c>
      <x:c r="F267" s="11" t="str">
        <x:v>Humain</x:v>
      </x:c>
      <x:c r="G267" s="11" t="str">
        <x:v>Terminé</x:v>
      </x:c>
      <x:c r="H267" s="11" t="str">
        <x:v>SRC-103</x:v>
      </x:c>
      <x:c r="I267" s="11" t="str">
        <x:v>SYNTHETIQUE</x:v>
      </x:c>
    </x:row>
    <x:row r="268" ht="28" customHeight="1">
      <x:c r="A268" s="10" t="str">
        <x:v>EVT-263</x:v>
      </x:c>
      <x:c r="B268" s="10" t="str">
        <x:v>DOS-FICT-055</x:v>
      </x:c>
      <x:c r="C268" s="10" t="str">
        <x:v>Paiement préparé</x:v>
      </x:c>
      <x:c r="D268" s="22" t="n">
        <x:v>46250.4375</x:v>
      </x:c>
      <x:c r="E268" s="10" t="str">
        <x:v>ACT-012</x:v>
      </x:c>
      <x:c r="F268" s="10" t="str">
        <x:v>Humain</x:v>
      </x:c>
      <x:c r="G268" s="10" t="str">
        <x:v>Demande de paiement préparée</x:v>
      </x:c>
      <x:c r="H268" s="10" t="str">
        <x:v>SRC-103</x:v>
      </x:c>
      <x:c r="I268" s="10" t="str">
        <x:v>SYNTHETIQUE</x:v>
      </x:c>
    </x:row>
    <x:row r="269" ht="28" customHeight="1">
      <x:c r="A269" s="11" t="str">
        <x:v>EVT-264</x:v>
      </x:c>
      <x:c r="B269" s="11" t="str">
        <x:v>DOS-FICT-056</x:v>
      </x:c>
      <x:c r="C269" s="11" t="str">
        <x:v>Déclaration reçue</x:v>
      </x:c>
      <x:c r="D269" s="23" t="n">
        <x:v>46251.333333333336</x:v>
      </x:c>
      <x:c r="E269" s="11" t="str">
        <x:v>ACT-011</x:v>
      </x:c>
      <x:c r="F269" s="11" t="str">
        <x:v>Humain</x:v>
      </x:c>
      <x:c r="G269" s="11" t="str">
        <x:v>Terminé</x:v>
      </x:c>
      <x:c r="H269" s="11" t="str">
        <x:v>SRC-103</x:v>
      </x:c>
      <x:c r="I269" s="11" t="str">
        <x:v>SYNTHETIQUE</x:v>
      </x:c>
    </x:row>
    <x:row r="270" ht="28" customHeight="1">
      <x:c r="A270" s="10" t="str">
        <x:v>EVT-265</x:v>
      </x:c>
      <x:c r="B270" s="10" t="str">
        <x:v>DOS-FICT-056</x:v>
      </x:c>
      <x:c r="C270" s="10" t="str">
        <x:v>Pièces contrôlées</x:v>
      </x:c>
      <x:c r="D270" s="22" t="n">
        <x:v>46251.416666666664</x:v>
      </x:c>
      <x:c r="E270" s="10" t="str">
        <x:v>ACT-011</x:v>
      </x:c>
      <x:c r="F270" s="10" t="str">
        <x:v>Humain</x:v>
      </x:c>
      <x:c r="G270" s="10" t="str">
        <x:v>Terminé</x:v>
      </x:c>
      <x:c r="H270" s="10" t="str">
        <x:v>SRC-103</x:v>
      </x:c>
      <x:c r="I270" s="10" t="str">
        <x:v>SYNTHETIQUE</x:v>
      </x:c>
    </x:row>
    <x:row r="271" ht="28" customHeight="1">
      <x:c r="A271" s="11" t="str">
        <x:v>EVT-266</x:v>
      </x:c>
      <x:c r="B271" s="11" t="str">
        <x:v>DOS-FICT-056</x:v>
      </x:c>
      <x:c r="C271" s="11" t="str">
        <x:v>Synthèse préparée</x:v>
      </x:c>
      <x:c r="D271" s="23" t="n">
        <x:v>46251.4375</x:v>
      </x:c>
      <x:c r="E271" s="11" t="str">
        <x:v>ACT-011</x:v>
      </x:c>
      <x:c r="F271" s="11" t="str">
        <x:v>AI-001</x:v>
      </x:c>
      <x:c r="G271" s="11" t="str">
        <x:v>Terminé</x:v>
      </x:c>
      <x:c r="H271" s="11" t="str">
        <x:v>SRC-103</x:v>
      </x:c>
      <x:c r="I271" s="11" t="str">
        <x:v>SYNTHETIQUE</x:v>
      </x:c>
    </x:row>
    <x:row r="272" ht="28" customHeight="1">
      <x:c r="A272" s="10" t="str">
        <x:v>EVT-267</x:v>
      </x:c>
      <x:c r="B272" s="10" t="str">
        <x:v>DOS-FICT-056</x:v>
      </x:c>
      <x:c r="C272" s="10" t="str">
        <x:v>Décision validée</x:v>
      </x:c>
      <x:c r="D272" s="22" t="n">
        <x:v>46251.458333333336</x:v>
      </x:c>
      <x:c r="E272" s="10" t="str">
        <x:v>ACT-012</x:v>
      </x:c>
      <x:c r="F272" s="10" t="str">
        <x:v>Humain</x:v>
      </x:c>
      <x:c r="G272" s="10" t="str">
        <x:v>Terminé</x:v>
      </x:c>
      <x:c r="H272" s="10" t="str">
        <x:v>SRC-103</x:v>
      </x:c>
      <x:c r="I272" s="10" t="str">
        <x:v>SYNTHETIQUE</x:v>
      </x:c>
    </x:row>
    <x:row r="273" ht="28" customHeight="1">
      <x:c r="A273" s="11" t="str">
        <x:v>EVT-268</x:v>
      </x:c>
      <x:c r="B273" s="11" t="str">
        <x:v>DOS-FICT-056</x:v>
      </x:c>
      <x:c r="C273" s="11" t="str">
        <x:v>Paiement préparé</x:v>
      </x:c>
      <x:c r="D273" s="23" t="n">
        <x:v>46251.479166666664</x:v>
      </x:c>
      <x:c r="E273" s="11" t="str">
        <x:v>ACT-012</x:v>
      </x:c>
      <x:c r="F273" s="11" t="str">
        <x:v>Humain</x:v>
      </x:c>
      <x:c r="G273" s="11" t="str">
        <x:v>Demande de paiement préparée</x:v>
      </x:c>
      <x:c r="H273" s="11" t="str">
        <x:v>SRC-103</x:v>
      </x:c>
      <x:c r="I273" s="11" t="str">
        <x:v>SYNTHETIQUE</x:v>
      </x:c>
    </x:row>
    <x:row r="274" ht="28" customHeight="1">
      <x:c r="A274" s="10" t="str">
        <x:v>EVT-269</x:v>
      </x:c>
      <x:c r="B274" s="10" t="str">
        <x:v>DOS-FICT-057</x:v>
      </x:c>
      <x:c r="C274" s="10" t="str">
        <x:v>Déclaration reçue</x:v>
      </x:c>
      <x:c r="D274" s="22" t="n">
        <x:v>46252.333333333336</x:v>
      </x:c>
      <x:c r="E274" s="10" t="str">
        <x:v>ACT-011</x:v>
      </x:c>
      <x:c r="F274" s="10" t="str">
        <x:v>Humain</x:v>
      </x:c>
      <x:c r="G274" s="10" t="str">
        <x:v>Terminé</x:v>
      </x:c>
      <x:c r="H274" s="10" t="str">
        <x:v>SRC-103</x:v>
      </x:c>
      <x:c r="I274" s="10" t="str">
        <x:v>SYNTHETIQUE</x:v>
      </x:c>
    </x:row>
    <x:row r="275" ht="28" customHeight="1">
      <x:c r="A275" s="11" t="str">
        <x:v>EVT-270</x:v>
      </x:c>
      <x:c r="B275" s="11" t="str">
        <x:v>DOS-FICT-057</x:v>
      </x:c>
      <x:c r="C275" s="11" t="str">
        <x:v>Pièces contrôlées</x:v>
      </x:c>
      <x:c r="D275" s="23" t="n">
        <x:v>46252.458333333336</x:v>
      </x:c>
      <x:c r="E275" s="11" t="str">
        <x:v>ACT-011</x:v>
      </x:c>
      <x:c r="F275" s="11" t="str">
        <x:v>Humain</x:v>
      </x:c>
      <x:c r="G275" s="11" t="str">
        <x:v>Terminé</x:v>
      </x:c>
      <x:c r="H275" s="11" t="str">
        <x:v>SRC-103</x:v>
      </x:c>
      <x:c r="I275" s="11" t="str">
        <x:v>SYNTHETIQUE</x:v>
      </x:c>
    </x:row>
    <x:row r="276" ht="28" customHeight="1">
      <x:c r="A276" s="10" t="str">
        <x:v>EVT-271</x:v>
      </x:c>
      <x:c r="B276" s="10" t="str">
        <x:v>DOS-FICT-057</x:v>
      </x:c>
      <x:c r="C276" s="10" t="str">
        <x:v>Synthèse préparée</x:v>
      </x:c>
      <x:c r="D276" s="22" t="n">
        <x:v>46252.479166666664</x:v>
      </x:c>
      <x:c r="E276" s="10" t="str">
        <x:v>ACT-011</x:v>
      </x:c>
      <x:c r="F276" s="10" t="str">
        <x:v>AI-001</x:v>
      </x:c>
      <x:c r="G276" s="10" t="str">
        <x:v>Terminé</x:v>
      </x:c>
      <x:c r="H276" s="10" t="str">
        <x:v>SRC-103</x:v>
      </x:c>
      <x:c r="I276" s="10" t="str">
        <x:v>SYNTHETIQUE</x:v>
      </x:c>
    </x:row>
    <x:row r="277" ht="28" customHeight="1">
      <x:c r="A277" s="11" t="str">
        <x:v>EVT-272</x:v>
      </x:c>
      <x:c r="B277" s="11" t="str">
        <x:v>DOS-FICT-057</x:v>
      </x:c>
      <x:c r="C277" s="11" t="str">
        <x:v>Décision validée</x:v>
      </x:c>
      <x:c r="D277" s="23" t="n">
        <x:v>46252.5</x:v>
      </x:c>
      <x:c r="E277" s="11" t="str">
        <x:v>ACT-012</x:v>
      </x:c>
      <x:c r="F277" s="11" t="str">
        <x:v>Humain</x:v>
      </x:c>
      <x:c r="G277" s="11" t="str">
        <x:v>Terminé</x:v>
      </x:c>
      <x:c r="H277" s="11" t="str">
        <x:v>SRC-103</x:v>
      </x:c>
      <x:c r="I277" s="11" t="str">
        <x:v>SYNTHETIQUE</x:v>
      </x:c>
    </x:row>
    <x:row r="278" ht="28" customHeight="1">
      <x:c r="A278" s="10" t="str">
        <x:v>EVT-273</x:v>
      </x:c>
      <x:c r="B278" s="10" t="str">
        <x:v>DOS-FICT-057</x:v>
      </x:c>
      <x:c r="C278" s="10" t="str">
        <x:v>Paiement préparé</x:v>
      </x:c>
      <x:c r="D278" s="22" t="n">
        <x:v>46252.520833333336</x:v>
      </x:c>
      <x:c r="E278" s="10" t="str">
        <x:v>ACT-012</x:v>
      </x:c>
      <x:c r="F278" s="10" t="str">
        <x:v>Humain</x:v>
      </x:c>
      <x:c r="G278" s="10" t="str">
        <x:v>Demande de paiement préparée</x:v>
      </x:c>
      <x:c r="H278" s="10" t="str">
        <x:v>SRC-103</x:v>
      </x:c>
      <x:c r="I278" s="10" t="str">
        <x:v>SYNTHETIQUE</x:v>
      </x:c>
    </x:row>
    <x:row r="279" ht="28" customHeight="1">
      <x:c r="A279" s="11" t="str">
        <x:v>EVT-274</x:v>
      </x:c>
      <x:c r="B279" s="11" t="str">
        <x:v>DOS-FICT-058</x:v>
      </x:c>
      <x:c r="C279" s="11" t="str">
        <x:v>Déclaration reçue</x:v>
      </x:c>
      <x:c r="D279" s="23" t="n">
        <x:v>46253.333333333336</x:v>
      </x:c>
      <x:c r="E279" s="11" t="str">
        <x:v>ACT-011</x:v>
      </x:c>
      <x:c r="F279" s="11" t="str">
        <x:v>Humain</x:v>
      </x:c>
      <x:c r="G279" s="11" t="str">
        <x:v>Terminé</x:v>
      </x:c>
      <x:c r="H279" s="11" t="str">
        <x:v>SRC-103</x:v>
      </x:c>
      <x:c r="I279" s="11" t="str">
        <x:v>SYNTHETIQUE</x:v>
      </x:c>
    </x:row>
    <x:row r="280" ht="28" customHeight="1">
      <x:c r="A280" s="10" t="str">
        <x:v>EVT-275</x:v>
      </x:c>
      <x:c r="B280" s="10" t="str">
        <x:v>DOS-FICT-058</x:v>
      </x:c>
      <x:c r="C280" s="10" t="str">
        <x:v>Pièces contrôlées</x:v>
      </x:c>
      <x:c r="D280" s="22" t="n">
        <x:v>46253.5</x:v>
      </x:c>
      <x:c r="E280" s="10" t="str">
        <x:v>ACT-011</x:v>
      </x:c>
      <x:c r="F280" s="10" t="str">
        <x:v>Humain</x:v>
      </x:c>
      <x:c r="G280" s="10" t="str">
        <x:v>Terminé</x:v>
      </x:c>
      <x:c r="H280" s="10" t="str">
        <x:v>SRC-103</x:v>
      </x:c>
      <x:c r="I280" s="10" t="str">
        <x:v>SYNTHETIQUE</x:v>
      </x:c>
    </x:row>
    <x:row r="281" ht="28" customHeight="1">
      <x:c r="A281" s="11" t="str">
        <x:v>EVT-276</x:v>
      </x:c>
      <x:c r="B281" s="11" t="str">
        <x:v>DOS-FICT-058</x:v>
      </x:c>
      <x:c r="C281" s="11" t="str">
        <x:v>Synthèse préparée</x:v>
      </x:c>
      <x:c r="D281" s="23" t="n">
        <x:v>46253.520833333336</x:v>
      </x:c>
      <x:c r="E281" s="11" t="str">
        <x:v>ACT-011</x:v>
      </x:c>
      <x:c r="F281" s="11" t="str">
        <x:v>AI-001</x:v>
      </x:c>
      <x:c r="G281" s="11" t="str">
        <x:v>Terminé</x:v>
      </x:c>
      <x:c r="H281" s="11" t="str">
        <x:v>SRC-103</x:v>
      </x:c>
      <x:c r="I281" s="11" t="str">
        <x:v>SYNTHETIQUE</x:v>
      </x:c>
    </x:row>
    <x:row r="282" ht="28" customHeight="1">
      <x:c r="A282" s="10" t="str">
        <x:v>EVT-277</x:v>
      </x:c>
      <x:c r="B282" s="10" t="str">
        <x:v>DOS-FICT-058</x:v>
      </x:c>
      <x:c r="C282" s="10" t="str">
        <x:v>Décision validée</x:v>
      </x:c>
      <x:c r="D282" s="22" t="n">
        <x:v>46253.541666666664</x:v>
      </x:c>
      <x:c r="E282" s="10" t="str">
        <x:v>ACT-012</x:v>
      </x:c>
      <x:c r="F282" s="10" t="str">
        <x:v>Humain</x:v>
      </x:c>
      <x:c r="G282" s="10" t="str">
        <x:v>Terminé</x:v>
      </x:c>
      <x:c r="H282" s="10" t="str">
        <x:v>SRC-103</x:v>
      </x:c>
      <x:c r="I282" s="10" t="str">
        <x:v>SYNTHETIQUE</x:v>
      </x:c>
    </x:row>
    <x:row r="283" ht="28" customHeight="1">
      <x:c r="A283" s="11" t="str">
        <x:v>EVT-278</x:v>
      </x:c>
      <x:c r="B283" s="11" t="str">
        <x:v>DOS-FICT-058</x:v>
      </x:c>
      <x:c r="C283" s="11" t="str">
        <x:v>Paiement préparé</x:v>
      </x:c>
      <x:c r="D283" s="23" t="n">
        <x:v>46253.5625</x:v>
      </x:c>
      <x:c r="E283" s="11" t="str">
        <x:v>ACT-012</x:v>
      </x:c>
      <x:c r="F283" s="11" t="str">
        <x:v>Humain</x:v>
      </x:c>
      <x:c r="G283" s="11" t="str">
        <x:v>Demande de paiement préparée</x:v>
      </x:c>
      <x:c r="H283" s="11" t="str">
        <x:v>SRC-103</x:v>
      </x:c>
      <x:c r="I283" s="11" t="str">
        <x:v>SYNTHETIQUE</x:v>
      </x:c>
    </x:row>
    <x:row r="284" ht="28" customHeight="1">
      <x:c r="A284" s="10" t="str">
        <x:v>EVT-279</x:v>
      </x:c>
      <x:c r="B284" s="10" t="str">
        <x:v>DOS-FICT-059</x:v>
      </x:c>
      <x:c r="C284" s="10" t="str">
        <x:v>Déclaration reçue</x:v>
      </x:c>
      <x:c r="D284" s="22" t="n">
        <x:v>46254.333333333336</x:v>
      </x:c>
      <x:c r="E284" s="10" t="str">
        <x:v>ACT-011</x:v>
      </x:c>
      <x:c r="F284" s="10" t="str">
        <x:v>Humain</x:v>
      </x:c>
      <x:c r="G284" s="10" t="str">
        <x:v>Terminé</x:v>
      </x:c>
      <x:c r="H284" s="10" t="str">
        <x:v>SRC-103</x:v>
      </x:c>
      <x:c r="I284" s="10" t="str">
        <x:v>SYNTHETIQUE</x:v>
      </x:c>
    </x:row>
    <x:row r="285" ht="28" customHeight="1">
      <x:c r="A285" s="11" t="str">
        <x:v>EVT-280</x:v>
      </x:c>
      <x:c r="B285" s="11" t="str">
        <x:v>DOS-FICT-059</x:v>
      </x:c>
      <x:c r="C285" s="11" t="str">
        <x:v>Pièces contrôlées</x:v>
      </x:c>
      <x:c r="D285" s="23" t="n">
        <x:v>46254.541666666664</x:v>
      </x:c>
      <x:c r="E285" s="11" t="str">
        <x:v>ACT-011</x:v>
      </x:c>
      <x:c r="F285" s="11" t="str">
        <x:v>Humain</x:v>
      </x:c>
      <x:c r="G285" s="11" t="str">
        <x:v>Terminé</x:v>
      </x:c>
      <x:c r="H285" s="11" t="str">
        <x:v>SRC-103</x:v>
      </x:c>
      <x:c r="I285" s="11" t="str">
        <x:v>SYNTHETIQUE</x:v>
      </x:c>
    </x:row>
    <x:row r="286" ht="28" customHeight="1">
      <x:c r="A286" s="10" t="str">
        <x:v>EVT-281</x:v>
      </x:c>
      <x:c r="B286" s="10" t="str">
        <x:v>DOS-FICT-059</x:v>
      </x:c>
      <x:c r="C286" s="10" t="str">
        <x:v>Synthèse préparée</x:v>
      </x:c>
      <x:c r="D286" s="22" t="n">
        <x:v>46254.5625</x:v>
      </x:c>
      <x:c r="E286" s="10" t="str">
        <x:v>ACT-011</x:v>
      </x:c>
      <x:c r="F286" s="10" t="str">
        <x:v>AI-001</x:v>
      </x:c>
      <x:c r="G286" s="10" t="str">
        <x:v>Terminé</x:v>
      </x:c>
      <x:c r="H286" s="10" t="str">
        <x:v>SRC-103</x:v>
      </x:c>
      <x:c r="I286" s="10" t="str">
        <x:v>SYNTHETIQUE</x:v>
      </x:c>
    </x:row>
    <x:row r="287" ht="28" customHeight="1">
      <x:c r="A287" s="11" t="str">
        <x:v>EVT-282</x:v>
      </x:c>
      <x:c r="B287" s="11" t="str">
        <x:v>DOS-FICT-059</x:v>
      </x:c>
      <x:c r="C287" s="11" t="str">
        <x:v>Décision validée</x:v>
      </x:c>
      <x:c r="D287" s="23" t="n">
        <x:v>46254.583333333336</x:v>
      </x:c>
      <x:c r="E287" s="11" t="str">
        <x:v>ACT-012</x:v>
      </x:c>
      <x:c r="F287" s="11" t="str">
        <x:v>Humain</x:v>
      </x:c>
      <x:c r="G287" s="11" t="str">
        <x:v>Terminé</x:v>
      </x:c>
      <x:c r="H287" s="11" t="str">
        <x:v>SRC-103</x:v>
      </x:c>
      <x:c r="I287" s="11" t="str">
        <x:v>SYNTHETIQUE</x:v>
      </x:c>
    </x:row>
    <x:row r="288" ht="28" customHeight="1">
      <x:c r="A288" s="10" t="str">
        <x:v>EVT-283</x:v>
      </x:c>
      <x:c r="B288" s="10" t="str">
        <x:v>DOS-FICT-059</x:v>
      </x:c>
      <x:c r="C288" s="10" t="str">
        <x:v>Paiement préparé</x:v>
      </x:c>
      <x:c r="D288" s="22" t="n">
        <x:v>46254.604166666664</x:v>
      </x:c>
      <x:c r="E288" s="10" t="str">
        <x:v>ACT-012</x:v>
      </x:c>
      <x:c r="F288" s="10" t="str">
        <x:v>Humain</x:v>
      </x:c>
      <x:c r="G288" s="10" t="str">
        <x:v>Demande de paiement préparée</x:v>
      </x:c>
      <x:c r="H288" s="10" t="str">
        <x:v>SRC-103</x:v>
      </x:c>
      <x:c r="I288" s="10" t="str">
        <x:v>SYNTHETIQUE</x:v>
      </x:c>
    </x:row>
    <x:row r="289" ht="28" customHeight="1">
      <x:c r="A289" s="11" t="str">
        <x:v>EVT-284</x:v>
      </x:c>
      <x:c r="B289" s="11" t="str">
        <x:v>DOS-FICT-060</x:v>
      </x:c>
      <x:c r="C289" s="11" t="str">
        <x:v>Déclaration reçue</x:v>
      </x:c>
      <x:c r="D289" s="23" t="n">
        <x:v>46235.333333333336</x:v>
      </x:c>
      <x:c r="E289" s="11" t="str">
        <x:v>ACT-011</x:v>
      </x:c>
      <x:c r="F289" s="11" t="str">
        <x:v>Humain</x:v>
      </x:c>
      <x:c r="G289" s="11" t="str">
        <x:v>Terminé</x:v>
      </x:c>
      <x:c r="H289" s="11" t="str">
        <x:v>SRC-103</x:v>
      </x:c>
      <x:c r="I289" s="11" t="str">
        <x:v>SYNTHETIQUE</x:v>
      </x:c>
    </x:row>
    <x:row r="290" ht="28" customHeight="1">
      <x:c r="A290" s="10" t="str">
        <x:v>EVT-285</x:v>
      </x:c>
      <x:c r="B290" s="10" t="str">
        <x:v>DOS-FICT-060</x:v>
      </x:c>
      <x:c r="C290" s="10" t="str">
        <x:v>Pièces contrôlées</x:v>
      </x:c>
      <x:c r="D290" s="22" t="n">
        <x:v>46235.375</x:v>
      </x:c>
      <x:c r="E290" s="10" t="str">
        <x:v>ACT-011</x:v>
      </x:c>
      <x:c r="F290" s="10" t="str">
        <x:v>Humain</x:v>
      </x:c>
      <x:c r="G290" s="10" t="str">
        <x:v>Terminé</x:v>
      </x:c>
      <x:c r="H290" s="10" t="str">
        <x:v>SRC-103</x:v>
      </x:c>
      <x:c r="I290" s="10" t="str">
        <x:v>SYNTHETIQUE</x:v>
      </x:c>
    </x:row>
    <x:row r="291" ht="28" customHeight="1">
      <x:c r="A291" s="11" t="str">
        <x:v>EVT-286</x:v>
      </x:c>
      <x:c r="B291" s="11" t="str">
        <x:v>DOS-FICT-060</x:v>
      </x:c>
      <x:c r="C291" s="11" t="str">
        <x:v>Synthèse préparée</x:v>
      </x:c>
      <x:c r="D291" s="23" t="n">
        <x:v>46235.395833333336</x:v>
      </x:c>
      <x:c r="E291" s="11" t="str">
        <x:v>ACT-011</x:v>
      </x:c>
      <x:c r="F291" s="11" t="str">
        <x:v>AI-001</x:v>
      </x:c>
      <x:c r="G291" s="11" t="str">
        <x:v>Terminé</x:v>
      </x:c>
      <x:c r="H291" s="11" t="str">
        <x:v>SRC-103</x:v>
      </x:c>
      <x:c r="I291" s="11" t="str">
        <x:v>SYNTHETIQUE</x:v>
      </x:c>
    </x:row>
    <x:row r="292" ht="28" customHeight="1">
      <x:c r="A292" s="10" t="str">
        <x:v>EVT-287</x:v>
      </x:c>
      <x:c r="B292" s="10" t="str">
        <x:v>DOS-FICT-060</x:v>
      </x:c>
      <x:c r="C292" s="10" t="str">
        <x:v>Décision validée</x:v>
      </x:c>
      <x:c r="D292" s="22" t="n">
        <x:v>46235.416666666664</x:v>
      </x:c>
      <x:c r="E292" s="10" t="str">
        <x:v>ACT-012</x:v>
      </x:c>
      <x:c r="F292" s="10" t="str">
        <x:v>Humain</x:v>
      </x:c>
      <x:c r="G292" s="10" t="str">
        <x:v>Terminé</x:v>
      </x:c>
      <x:c r="H292" s="10" t="str">
        <x:v>SRC-103</x:v>
      </x:c>
      <x:c r="I292" s="10" t="str">
        <x:v>SYNTHETIQUE</x:v>
      </x:c>
    </x:row>
    <x:row r="293" ht="28" customHeight="1">
      <x:c r="A293" s="11" t="str">
        <x:v>EVT-288</x:v>
      </x:c>
      <x:c r="B293" s="11" t="str">
        <x:v>DOS-FICT-060</x:v>
      </x:c>
      <x:c r="C293" s="11" t="str">
        <x:v>Paiement préparé</x:v>
      </x:c>
      <x:c r="D293" s="23" t="n">
        <x:v>46235.4375</x:v>
      </x:c>
      <x:c r="E293" s="11" t="str">
        <x:v>ACT-012</x:v>
      </x:c>
      <x:c r="F293" s="11" t="str">
        <x:v>Humain</x:v>
      </x:c>
      <x:c r="G293" s="11" t="str">
        <x:v>Demande de paiement préparée</x:v>
      </x:c>
      <x:c r="H293" s="11" t="str">
        <x:v>SRC-103</x:v>
      </x:c>
      <x:c r="I293" s="11" t="str">
        <x:v>SYNTHETIQUE</x:v>
      </x:c>
    </x:row>
  </x:sheetData>
  <x:pageMargins left="0.7" right="0.7" top="0.75" bottom="0.75" header="0.3" footer="0.3"/>
  <x:tableParts count="1">
    <x:tablePart xmlns:r="http://schemas.openxmlformats.org/officeDocument/2006/relationships" r:id="Re6899b3c6a1d4904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1" hidden="0" customWidth="1"/>
    <x:col min="2" max="2" width="24" hidden="0" customWidth="1"/>
    <x:col min="3" max="3" width="27" hidden="0" customWidth="1"/>
    <x:col min="4" max="4" width="24" hidden="0" customWidth="1"/>
    <x:col min="5" max="5" width="24" hidden="0" customWidth="1"/>
    <x:col min="6" max="6" width="21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3" t="str">
        <x:v>Relations</x:v>
      </x:c>
      <x:c r="B2" s="2"/>
      <x:c r="C2" s="2"/>
      <x:c r="D2" s="2"/>
      <x:c r="E2" s="2"/>
      <x:c r="F2" s="2"/>
    </x:row>
    <x:row r="3">
      <x:c r="A3" s="4" t="str">
        <x:v>DONNÉES SYNTHÉTIQUES — Assureur Démo France — août 2026 / état au 20 septembre 2026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42" customHeight="1">
      <x:c r="A5" s="8" t="str">
        <x:v>relation_id</x:v>
      </x:c>
      <x:c r="B5" s="8" t="str">
        <x:v>Objet source</x:v>
      </x:c>
      <x:c r="C5" s="8" t="str">
        <x:v>Relation</x:v>
      </x:c>
      <x:c r="D5" s="8" t="str">
        <x:v>Objet cible</x:v>
      </x:c>
      <x:c r="E5" s="8" t="str">
        <x:v>Preuve source_id</x:v>
      </x:c>
      <x:c r="F5" s="8" t="str">
        <x:v>Nature</x:v>
      </x:c>
    </x:row>
    <x:row r="6" ht="28" customHeight="1">
      <x:c r="A6" s="10" t="str">
        <x:v>REL-001</x:v>
      </x:c>
      <x:c r="B6" s="10" t="str">
        <x:v>SRC-001</x:v>
      </x:c>
      <x:c r="C6" s="10" t="str">
        <x:v>DOCUMENTS</x:v>
      </x:c>
      <x:c r="D6" s="10" t="str">
        <x:v>ACT-001</x:v>
      </x:c>
      <x:c r="E6" s="10" t="str">
        <x:v>SRC-001</x:v>
      </x:c>
      <x:c r="F6" s="10" t="str">
        <x:v>SYNTHETIQUE</x:v>
      </x:c>
    </x:row>
    <x:row r="7" ht="28" customHeight="1">
      <x:c r="A7" s="11" t="str">
        <x:v>REL-002</x:v>
      </x:c>
      <x:c r="B7" s="11" t="str">
        <x:v>SRC-001</x:v>
      </x:c>
      <x:c r="C7" s="11" t="str">
        <x:v>DOCUMENTS</x:v>
      </x:c>
      <x:c r="D7" s="11" t="str">
        <x:v>ACT-002</x:v>
      </x:c>
      <x:c r="E7" s="11" t="str">
        <x:v>SRC-001</x:v>
      </x:c>
      <x:c r="F7" s="11" t="str">
        <x:v>SYNTHETIQUE</x:v>
      </x:c>
    </x:row>
    <x:row r="8" ht="28" customHeight="1">
      <x:c r="A8" s="10" t="str">
        <x:v>REL-003</x:v>
      </x:c>
      <x:c r="B8" s="10" t="str">
        <x:v>SRC-002</x:v>
      </x:c>
      <x:c r="C8" s="10" t="str">
        <x:v>DOCUMENTS</x:v>
      </x:c>
      <x:c r="D8" s="10" t="str">
        <x:v>ACT-001</x:v>
      </x:c>
      <x:c r="E8" s="10" t="str">
        <x:v>SRC-002</x:v>
      </x:c>
      <x:c r="F8" s="10" t="str">
        <x:v>SYNTHETIQUE</x:v>
      </x:c>
    </x:row>
    <x:row r="9" ht="28" customHeight="1">
      <x:c r="A9" s="11" t="str">
        <x:v>REL-004</x:v>
      </x:c>
      <x:c r="B9" s="11" t="str">
        <x:v>SRC-002</x:v>
      </x:c>
      <x:c r="C9" s="11" t="str">
        <x:v>DOCUMENTS</x:v>
      </x:c>
      <x:c r="D9" s="11" t="str">
        <x:v>ACT-002</x:v>
      </x:c>
      <x:c r="E9" s="11" t="str">
        <x:v>SRC-002</x:v>
      </x:c>
      <x:c r="F9" s="11" t="str">
        <x:v>SYNTHETIQUE</x:v>
      </x:c>
    </x:row>
    <x:row r="10" ht="28" customHeight="1">
      <x:c r="A10" s="10" t="str">
        <x:v>REL-005</x:v>
      </x:c>
      <x:c r="B10" s="10" t="str">
        <x:v>SRC-003</x:v>
      </x:c>
      <x:c r="C10" s="10" t="str">
        <x:v>DOCUMENTS</x:v>
      </x:c>
      <x:c r="D10" s="10" t="str">
        <x:v>ACT-001</x:v>
      </x:c>
      <x:c r="E10" s="10" t="str">
        <x:v>SRC-003</x:v>
      </x:c>
      <x:c r="F10" s="10" t="str">
        <x:v>SYNTHETIQUE</x:v>
      </x:c>
    </x:row>
    <x:row r="11" ht="28" customHeight="1">
      <x:c r="A11" s="11" t="str">
        <x:v>REL-006</x:v>
      </x:c>
      <x:c r="B11" s="11" t="str">
        <x:v>SRC-003</x:v>
      </x:c>
      <x:c r="C11" s="11" t="str">
        <x:v>DOCUMENTS</x:v>
      </x:c>
      <x:c r="D11" s="11" t="str">
        <x:v>ACT-002</x:v>
      </x:c>
      <x:c r="E11" s="11" t="str">
        <x:v>SRC-003</x:v>
      </x:c>
      <x:c r="F11" s="11" t="str">
        <x:v>SYNTHETIQUE</x:v>
      </x:c>
    </x:row>
    <x:row r="12" ht="28" customHeight="1">
      <x:c r="A12" s="10" t="str">
        <x:v>REL-007</x:v>
      </x:c>
      <x:c r="B12" s="10" t="str">
        <x:v>SRC-004</x:v>
      </x:c>
      <x:c r="C12" s="10" t="str">
        <x:v>DOCUMENTS</x:v>
      </x:c>
      <x:c r="D12" s="10" t="str">
        <x:v>ACT-001</x:v>
      </x:c>
      <x:c r="E12" s="10" t="str">
        <x:v>SRC-004</x:v>
      </x:c>
      <x:c r="F12" s="10" t="str">
        <x:v>SYNTHETIQUE</x:v>
      </x:c>
    </x:row>
    <x:row r="13" ht="28" customHeight="1">
      <x:c r="A13" s="11" t="str">
        <x:v>REL-008</x:v>
      </x:c>
      <x:c r="B13" s="11" t="str">
        <x:v>SRC-004</x:v>
      </x:c>
      <x:c r="C13" s="11" t="str">
        <x:v>DOCUMENTS</x:v>
      </x:c>
      <x:c r="D13" s="11" t="str">
        <x:v>ACT-002</x:v>
      </x:c>
      <x:c r="E13" s="11" t="str">
        <x:v>SRC-004</x:v>
      </x:c>
      <x:c r="F13" s="11" t="str">
        <x:v>SYNTHETIQUE</x:v>
      </x:c>
    </x:row>
    <x:row r="14" ht="28" customHeight="1">
      <x:c r="A14" s="10" t="str">
        <x:v>REL-009</x:v>
      </x:c>
      <x:c r="B14" s="10" t="str">
        <x:v>SRC-005</x:v>
      </x:c>
      <x:c r="C14" s="10" t="str">
        <x:v>DOCUMENTS</x:v>
      </x:c>
      <x:c r="D14" s="10" t="str">
        <x:v>ACT-001</x:v>
      </x:c>
      <x:c r="E14" s="10" t="str">
        <x:v>SRC-005</x:v>
      </x:c>
      <x:c r="F14" s="10" t="str">
        <x:v>SYNTHETIQUE</x:v>
      </x:c>
    </x:row>
    <x:row r="15" ht="28" customHeight="1">
      <x:c r="A15" s="11" t="str">
        <x:v>REL-010</x:v>
      </x:c>
      <x:c r="B15" s="11" t="str">
        <x:v>SRC-005</x:v>
      </x:c>
      <x:c r="C15" s="11" t="str">
        <x:v>DOCUMENTS</x:v>
      </x:c>
      <x:c r="D15" s="11" t="str">
        <x:v>ACT-002</x:v>
      </x:c>
      <x:c r="E15" s="11" t="str">
        <x:v>SRC-005</x:v>
      </x:c>
      <x:c r="F15" s="11" t="str">
        <x:v>SYNTHETIQUE</x:v>
      </x:c>
    </x:row>
    <x:row r="16" ht="28" customHeight="1">
      <x:c r="A16" s="10" t="str">
        <x:v>REL-011</x:v>
      </x:c>
      <x:c r="B16" s="10" t="str">
        <x:v>SRC-006</x:v>
      </x:c>
      <x:c r="C16" s="10" t="str">
        <x:v>DOCUMENTS</x:v>
      </x:c>
      <x:c r="D16" s="10" t="str">
        <x:v>ACT-001</x:v>
      </x:c>
      <x:c r="E16" s="10" t="str">
        <x:v>SRC-006</x:v>
      </x:c>
      <x:c r="F16" s="10" t="str">
        <x:v>SYNTHETIQUE</x:v>
      </x:c>
    </x:row>
    <x:row r="17" ht="28" customHeight="1">
      <x:c r="A17" s="11" t="str">
        <x:v>REL-012</x:v>
      </x:c>
      <x:c r="B17" s="11" t="str">
        <x:v>SRC-006</x:v>
      </x:c>
      <x:c r="C17" s="11" t="str">
        <x:v>DOCUMENTS</x:v>
      </x:c>
      <x:c r="D17" s="11" t="str">
        <x:v>ACT-002</x:v>
      </x:c>
      <x:c r="E17" s="11" t="str">
        <x:v>SRC-006</x:v>
      </x:c>
      <x:c r="F17" s="11" t="str">
        <x:v>SYNTHETIQUE</x:v>
      </x:c>
    </x:row>
    <x:row r="18" ht="28" customHeight="1">
      <x:c r="A18" s="10" t="str">
        <x:v>REL-013</x:v>
      </x:c>
      <x:c r="B18" s="10" t="str">
        <x:v>SRC-007</x:v>
      </x:c>
      <x:c r="C18" s="10" t="str">
        <x:v>DOCUMENTS</x:v>
      </x:c>
      <x:c r="D18" s="10" t="str">
        <x:v>ACT-003</x:v>
      </x:c>
      <x:c r="E18" s="10" t="str">
        <x:v>SRC-007</x:v>
      </x:c>
      <x:c r="F18" s="10" t="str">
        <x:v>SYNTHETIQUE</x:v>
      </x:c>
    </x:row>
    <x:row r="19" ht="28" customHeight="1">
      <x:c r="A19" s="11" t="str">
        <x:v>REL-014</x:v>
      </x:c>
      <x:c r="B19" s="11" t="str">
        <x:v>SRC-007</x:v>
      </x:c>
      <x:c r="C19" s="11" t="str">
        <x:v>DOCUMENTS</x:v>
      </x:c>
      <x:c r="D19" s="11" t="str">
        <x:v>ACT-004</x:v>
      </x:c>
      <x:c r="E19" s="11" t="str">
        <x:v>SRC-007</x:v>
      </x:c>
      <x:c r="F19" s="11" t="str">
        <x:v>SYNTHETIQUE</x:v>
      </x:c>
    </x:row>
    <x:row r="20" ht="28" customHeight="1">
      <x:c r="A20" s="10" t="str">
        <x:v>REL-015</x:v>
      </x:c>
      <x:c r="B20" s="10" t="str">
        <x:v>SRC-008</x:v>
      </x:c>
      <x:c r="C20" s="10" t="str">
        <x:v>DOCUMENTS</x:v>
      </x:c>
      <x:c r="D20" s="10" t="str">
        <x:v>ACT-003</x:v>
      </x:c>
      <x:c r="E20" s="10" t="str">
        <x:v>SRC-008</x:v>
      </x:c>
      <x:c r="F20" s="10" t="str">
        <x:v>SYNTHETIQUE</x:v>
      </x:c>
    </x:row>
    <x:row r="21" ht="28" customHeight="1">
      <x:c r="A21" s="11" t="str">
        <x:v>REL-016</x:v>
      </x:c>
      <x:c r="B21" s="11" t="str">
        <x:v>SRC-008</x:v>
      </x:c>
      <x:c r="C21" s="11" t="str">
        <x:v>DOCUMENTS</x:v>
      </x:c>
      <x:c r="D21" s="11" t="str">
        <x:v>ACT-004</x:v>
      </x:c>
      <x:c r="E21" s="11" t="str">
        <x:v>SRC-008</x:v>
      </x:c>
      <x:c r="F21" s="11" t="str">
        <x:v>SYNTHETIQUE</x:v>
      </x:c>
    </x:row>
    <x:row r="22" ht="28" customHeight="1">
      <x:c r="A22" s="10" t="str">
        <x:v>REL-017</x:v>
      </x:c>
      <x:c r="B22" s="10" t="str">
        <x:v>SRC-009</x:v>
      </x:c>
      <x:c r="C22" s="10" t="str">
        <x:v>DOCUMENTS</x:v>
      </x:c>
      <x:c r="D22" s="10" t="str">
        <x:v>ACT-003</x:v>
      </x:c>
      <x:c r="E22" s="10" t="str">
        <x:v>SRC-009</x:v>
      </x:c>
      <x:c r="F22" s="10" t="str">
        <x:v>SYNTHETIQUE</x:v>
      </x:c>
    </x:row>
    <x:row r="23" ht="28" customHeight="1">
      <x:c r="A23" s="11" t="str">
        <x:v>REL-018</x:v>
      </x:c>
      <x:c r="B23" s="11" t="str">
        <x:v>SRC-009</x:v>
      </x:c>
      <x:c r="C23" s="11" t="str">
        <x:v>DOCUMENTS</x:v>
      </x:c>
      <x:c r="D23" s="11" t="str">
        <x:v>ACT-004</x:v>
      </x:c>
      <x:c r="E23" s="11" t="str">
        <x:v>SRC-009</x:v>
      </x:c>
      <x:c r="F23" s="11" t="str">
        <x:v>SYNTHETIQUE</x:v>
      </x:c>
    </x:row>
    <x:row r="24" ht="28" customHeight="1">
      <x:c r="A24" s="10" t="str">
        <x:v>REL-019</x:v>
      </x:c>
      <x:c r="B24" s="10" t="str">
        <x:v>SRC-010</x:v>
      </x:c>
      <x:c r="C24" s="10" t="str">
        <x:v>DOCUMENTS</x:v>
      </x:c>
      <x:c r="D24" s="10" t="str">
        <x:v>ACT-003</x:v>
      </x:c>
      <x:c r="E24" s="10" t="str">
        <x:v>SRC-010</x:v>
      </x:c>
      <x:c r="F24" s="10" t="str">
        <x:v>SYNTHETIQUE</x:v>
      </x:c>
    </x:row>
    <x:row r="25" ht="28" customHeight="1">
      <x:c r="A25" s="11" t="str">
        <x:v>REL-020</x:v>
      </x:c>
      <x:c r="B25" s="11" t="str">
        <x:v>SRC-010</x:v>
      </x:c>
      <x:c r="C25" s="11" t="str">
        <x:v>DOCUMENTS</x:v>
      </x:c>
      <x:c r="D25" s="11" t="str">
        <x:v>ACT-004</x:v>
      </x:c>
      <x:c r="E25" s="11" t="str">
        <x:v>SRC-010</x:v>
      </x:c>
      <x:c r="F25" s="11" t="str">
        <x:v>SYNTHETIQUE</x:v>
      </x:c>
    </x:row>
    <x:row r="26" ht="28" customHeight="1">
      <x:c r="A26" s="10" t="str">
        <x:v>REL-021</x:v>
      </x:c>
      <x:c r="B26" s="10" t="str">
        <x:v>SRC-011</x:v>
      </x:c>
      <x:c r="C26" s="10" t="str">
        <x:v>DOCUMENTS</x:v>
      </x:c>
      <x:c r="D26" s="10" t="str">
        <x:v>ACT-003</x:v>
      </x:c>
      <x:c r="E26" s="10" t="str">
        <x:v>SRC-011</x:v>
      </x:c>
      <x:c r="F26" s="10" t="str">
        <x:v>SYNTHETIQUE</x:v>
      </x:c>
    </x:row>
    <x:row r="27" ht="28" customHeight="1">
      <x:c r="A27" s="11" t="str">
        <x:v>REL-022</x:v>
      </x:c>
      <x:c r="B27" s="11" t="str">
        <x:v>SRC-011</x:v>
      </x:c>
      <x:c r="C27" s="11" t="str">
        <x:v>DOCUMENTS</x:v>
      </x:c>
      <x:c r="D27" s="11" t="str">
        <x:v>ACT-004</x:v>
      </x:c>
      <x:c r="E27" s="11" t="str">
        <x:v>SRC-011</x:v>
      </x:c>
      <x:c r="F27" s="11" t="str">
        <x:v>SYNTHETIQUE</x:v>
      </x:c>
    </x:row>
    <x:row r="28" ht="28" customHeight="1">
      <x:c r="A28" s="10" t="str">
        <x:v>REL-023</x:v>
      </x:c>
      <x:c r="B28" s="10" t="str">
        <x:v>SRC-012</x:v>
      </x:c>
      <x:c r="C28" s="10" t="str">
        <x:v>DOCUMENTS</x:v>
      </x:c>
      <x:c r="D28" s="10" t="str">
        <x:v>ACT-003</x:v>
      </x:c>
      <x:c r="E28" s="10" t="str">
        <x:v>SRC-012</x:v>
      </x:c>
      <x:c r="F28" s="10" t="str">
        <x:v>SYNTHETIQUE</x:v>
      </x:c>
    </x:row>
    <x:row r="29" ht="28" customHeight="1">
      <x:c r="A29" s="11" t="str">
        <x:v>REL-024</x:v>
      </x:c>
      <x:c r="B29" s="11" t="str">
        <x:v>SRC-012</x:v>
      </x:c>
      <x:c r="C29" s="11" t="str">
        <x:v>DOCUMENTS</x:v>
      </x:c>
      <x:c r="D29" s="11" t="str">
        <x:v>ACT-004</x:v>
      </x:c>
      <x:c r="E29" s="11" t="str">
        <x:v>SRC-012</x:v>
      </x:c>
      <x:c r="F29" s="11" t="str">
        <x:v>SYNTHETIQUE</x:v>
      </x:c>
    </x:row>
    <x:row r="30" ht="28" customHeight="1">
      <x:c r="A30" s="10" t="str">
        <x:v>REL-025</x:v>
      </x:c>
      <x:c r="B30" s="10" t="str">
        <x:v>SRC-013</x:v>
      </x:c>
      <x:c r="C30" s="10" t="str">
        <x:v>DOCUMENTS</x:v>
      </x:c>
      <x:c r="D30" s="10" t="str">
        <x:v>ACT-005</x:v>
      </x:c>
      <x:c r="E30" s="10" t="str">
        <x:v>SRC-013</x:v>
      </x:c>
      <x:c r="F30" s="10" t="str">
        <x:v>SYNTHETIQUE</x:v>
      </x:c>
    </x:row>
    <x:row r="31" ht="28" customHeight="1">
      <x:c r="A31" s="11" t="str">
        <x:v>REL-026</x:v>
      </x:c>
      <x:c r="B31" s="11" t="str">
        <x:v>SRC-013</x:v>
      </x:c>
      <x:c r="C31" s="11" t="str">
        <x:v>DOCUMENTS</x:v>
      </x:c>
      <x:c r="D31" s="11" t="str">
        <x:v>ACT-006</x:v>
      </x:c>
      <x:c r="E31" s="11" t="str">
        <x:v>SRC-013</x:v>
      </x:c>
      <x:c r="F31" s="11" t="str">
        <x:v>SYNTHETIQUE</x:v>
      </x:c>
    </x:row>
    <x:row r="32" ht="28" customHeight="1">
      <x:c r="A32" s="10" t="str">
        <x:v>REL-027</x:v>
      </x:c>
      <x:c r="B32" s="10" t="str">
        <x:v>SRC-014</x:v>
      </x:c>
      <x:c r="C32" s="10" t="str">
        <x:v>DOCUMENTS</x:v>
      </x:c>
      <x:c r="D32" s="10" t="str">
        <x:v>ACT-005</x:v>
      </x:c>
      <x:c r="E32" s="10" t="str">
        <x:v>SRC-014</x:v>
      </x:c>
      <x:c r="F32" s="10" t="str">
        <x:v>SYNTHETIQUE</x:v>
      </x:c>
    </x:row>
    <x:row r="33" ht="28" customHeight="1">
      <x:c r="A33" s="11" t="str">
        <x:v>REL-028</x:v>
      </x:c>
      <x:c r="B33" s="11" t="str">
        <x:v>SRC-014</x:v>
      </x:c>
      <x:c r="C33" s="11" t="str">
        <x:v>DOCUMENTS</x:v>
      </x:c>
      <x:c r="D33" s="11" t="str">
        <x:v>ACT-006</x:v>
      </x:c>
      <x:c r="E33" s="11" t="str">
        <x:v>SRC-014</x:v>
      </x:c>
      <x:c r="F33" s="11" t="str">
        <x:v>SYNTHETIQUE</x:v>
      </x:c>
    </x:row>
    <x:row r="34" ht="28" customHeight="1">
      <x:c r="A34" s="10" t="str">
        <x:v>REL-029</x:v>
      </x:c>
      <x:c r="B34" s="10" t="str">
        <x:v>SRC-015</x:v>
      </x:c>
      <x:c r="C34" s="10" t="str">
        <x:v>DOCUMENTS</x:v>
      </x:c>
      <x:c r="D34" s="10" t="str">
        <x:v>ACT-005</x:v>
      </x:c>
      <x:c r="E34" s="10" t="str">
        <x:v>SRC-015</x:v>
      </x:c>
      <x:c r="F34" s="10" t="str">
        <x:v>SYNTHETIQUE</x:v>
      </x:c>
    </x:row>
    <x:row r="35" ht="28" customHeight="1">
      <x:c r="A35" s="11" t="str">
        <x:v>REL-030</x:v>
      </x:c>
      <x:c r="B35" s="11" t="str">
        <x:v>SRC-015</x:v>
      </x:c>
      <x:c r="C35" s="11" t="str">
        <x:v>DOCUMENTS</x:v>
      </x:c>
      <x:c r="D35" s="11" t="str">
        <x:v>ACT-006</x:v>
      </x:c>
      <x:c r="E35" s="11" t="str">
        <x:v>SRC-015</x:v>
      </x:c>
      <x:c r="F35" s="11" t="str">
        <x:v>SYNTHETIQUE</x:v>
      </x:c>
    </x:row>
    <x:row r="36" ht="28" customHeight="1">
      <x:c r="A36" s="10" t="str">
        <x:v>REL-031</x:v>
      </x:c>
      <x:c r="B36" s="10" t="str">
        <x:v>SRC-016</x:v>
      </x:c>
      <x:c r="C36" s="10" t="str">
        <x:v>DOCUMENTS</x:v>
      </x:c>
      <x:c r="D36" s="10" t="str">
        <x:v>ACT-005</x:v>
      </x:c>
      <x:c r="E36" s="10" t="str">
        <x:v>SRC-016</x:v>
      </x:c>
      <x:c r="F36" s="10" t="str">
        <x:v>SYNTHETIQUE</x:v>
      </x:c>
    </x:row>
    <x:row r="37" ht="28" customHeight="1">
      <x:c r="A37" s="11" t="str">
        <x:v>REL-032</x:v>
      </x:c>
      <x:c r="B37" s="11" t="str">
        <x:v>SRC-016</x:v>
      </x:c>
      <x:c r="C37" s="11" t="str">
        <x:v>DOCUMENTS</x:v>
      </x:c>
      <x:c r="D37" s="11" t="str">
        <x:v>ACT-006</x:v>
      </x:c>
      <x:c r="E37" s="11" t="str">
        <x:v>SRC-016</x:v>
      </x:c>
      <x:c r="F37" s="11" t="str">
        <x:v>SYNTHETIQUE</x:v>
      </x:c>
    </x:row>
    <x:row r="38" ht="28" customHeight="1">
      <x:c r="A38" s="10" t="str">
        <x:v>REL-033</x:v>
      </x:c>
      <x:c r="B38" s="10" t="str">
        <x:v>SRC-017</x:v>
      </x:c>
      <x:c r="C38" s="10" t="str">
        <x:v>DOCUMENTS</x:v>
      </x:c>
      <x:c r="D38" s="10" t="str">
        <x:v>ACT-005</x:v>
      </x:c>
      <x:c r="E38" s="10" t="str">
        <x:v>SRC-017</x:v>
      </x:c>
      <x:c r="F38" s="10" t="str">
        <x:v>SYNTHETIQUE</x:v>
      </x:c>
    </x:row>
    <x:row r="39" ht="28" customHeight="1">
      <x:c r="A39" s="11" t="str">
        <x:v>REL-034</x:v>
      </x:c>
      <x:c r="B39" s="11" t="str">
        <x:v>SRC-017</x:v>
      </x:c>
      <x:c r="C39" s="11" t="str">
        <x:v>DOCUMENTS</x:v>
      </x:c>
      <x:c r="D39" s="11" t="str">
        <x:v>ACT-006</x:v>
      </x:c>
      <x:c r="E39" s="11" t="str">
        <x:v>SRC-017</x:v>
      </x:c>
      <x:c r="F39" s="11" t="str">
        <x:v>SYNTHETIQUE</x:v>
      </x:c>
    </x:row>
    <x:row r="40" ht="28" customHeight="1">
      <x:c r="A40" s="10" t="str">
        <x:v>REL-035</x:v>
      </x:c>
      <x:c r="B40" s="10" t="str">
        <x:v>SRC-018</x:v>
      </x:c>
      <x:c r="C40" s="10" t="str">
        <x:v>DOCUMENTS</x:v>
      </x:c>
      <x:c r="D40" s="10" t="str">
        <x:v>ACT-005</x:v>
      </x:c>
      <x:c r="E40" s="10" t="str">
        <x:v>SRC-018</x:v>
      </x:c>
      <x:c r="F40" s="10" t="str">
        <x:v>SYNTHETIQUE</x:v>
      </x:c>
    </x:row>
    <x:row r="41" ht="28" customHeight="1">
      <x:c r="A41" s="11" t="str">
        <x:v>REL-036</x:v>
      </x:c>
      <x:c r="B41" s="11" t="str">
        <x:v>SRC-018</x:v>
      </x:c>
      <x:c r="C41" s="11" t="str">
        <x:v>DOCUMENTS</x:v>
      </x:c>
      <x:c r="D41" s="11" t="str">
        <x:v>ACT-006</x:v>
      </x:c>
      <x:c r="E41" s="11" t="str">
        <x:v>SRC-018</x:v>
      </x:c>
      <x:c r="F41" s="11" t="str">
        <x:v>SYNTHETIQUE</x:v>
      </x:c>
    </x:row>
    <x:row r="42" ht="28" customHeight="1">
      <x:c r="A42" s="10" t="str">
        <x:v>REL-037</x:v>
      </x:c>
      <x:c r="B42" s="10" t="str">
        <x:v>SRC-019</x:v>
      </x:c>
      <x:c r="C42" s="10" t="str">
        <x:v>DOCUMENTS</x:v>
      </x:c>
      <x:c r="D42" s="10" t="str">
        <x:v>ACT-007</x:v>
      </x:c>
      <x:c r="E42" s="10" t="str">
        <x:v>SRC-019</x:v>
      </x:c>
      <x:c r="F42" s="10" t="str">
        <x:v>SYNTHETIQUE</x:v>
      </x:c>
    </x:row>
    <x:row r="43" ht="28" customHeight="1">
      <x:c r="A43" s="11" t="str">
        <x:v>REL-038</x:v>
      </x:c>
      <x:c r="B43" s="11" t="str">
        <x:v>SRC-019</x:v>
      </x:c>
      <x:c r="C43" s="11" t="str">
        <x:v>DOCUMENTS</x:v>
      </x:c>
      <x:c r="D43" s="11" t="str">
        <x:v>ACT-008</x:v>
      </x:c>
      <x:c r="E43" s="11" t="str">
        <x:v>SRC-019</x:v>
      </x:c>
      <x:c r="F43" s="11" t="str">
        <x:v>SYNTHETIQUE</x:v>
      </x:c>
    </x:row>
    <x:row r="44" ht="28" customHeight="1">
      <x:c r="A44" s="10" t="str">
        <x:v>REL-039</x:v>
      </x:c>
      <x:c r="B44" s="10" t="str">
        <x:v>SRC-020</x:v>
      </x:c>
      <x:c r="C44" s="10" t="str">
        <x:v>DOCUMENTS</x:v>
      </x:c>
      <x:c r="D44" s="10" t="str">
        <x:v>ACT-007</x:v>
      </x:c>
      <x:c r="E44" s="10" t="str">
        <x:v>SRC-020</x:v>
      </x:c>
      <x:c r="F44" s="10" t="str">
        <x:v>SYNTHETIQUE</x:v>
      </x:c>
    </x:row>
    <x:row r="45" ht="28" customHeight="1">
      <x:c r="A45" s="11" t="str">
        <x:v>REL-040</x:v>
      </x:c>
      <x:c r="B45" s="11" t="str">
        <x:v>SRC-020</x:v>
      </x:c>
      <x:c r="C45" s="11" t="str">
        <x:v>DOCUMENTS</x:v>
      </x:c>
      <x:c r="D45" s="11" t="str">
        <x:v>ACT-008</x:v>
      </x:c>
      <x:c r="E45" s="11" t="str">
        <x:v>SRC-020</x:v>
      </x:c>
      <x:c r="F45" s="11" t="str">
        <x:v>SYNTHETIQUE</x:v>
      </x:c>
    </x:row>
    <x:row r="46" ht="28" customHeight="1">
      <x:c r="A46" s="10" t="str">
        <x:v>REL-041</x:v>
      </x:c>
      <x:c r="B46" s="10" t="str">
        <x:v>SRC-021</x:v>
      </x:c>
      <x:c r="C46" s="10" t="str">
        <x:v>DOCUMENTS</x:v>
      </x:c>
      <x:c r="D46" s="10" t="str">
        <x:v>ACT-007</x:v>
      </x:c>
      <x:c r="E46" s="10" t="str">
        <x:v>SRC-021</x:v>
      </x:c>
      <x:c r="F46" s="10" t="str">
        <x:v>SYNTHETIQUE</x:v>
      </x:c>
    </x:row>
    <x:row r="47" ht="28" customHeight="1">
      <x:c r="A47" s="11" t="str">
        <x:v>REL-042</x:v>
      </x:c>
      <x:c r="B47" s="11" t="str">
        <x:v>SRC-021</x:v>
      </x:c>
      <x:c r="C47" s="11" t="str">
        <x:v>DOCUMENTS</x:v>
      </x:c>
      <x:c r="D47" s="11" t="str">
        <x:v>ACT-008</x:v>
      </x:c>
      <x:c r="E47" s="11" t="str">
        <x:v>SRC-021</x:v>
      </x:c>
      <x:c r="F47" s="11" t="str">
        <x:v>SYNTHETIQUE</x:v>
      </x:c>
    </x:row>
    <x:row r="48" ht="28" customHeight="1">
      <x:c r="A48" s="10" t="str">
        <x:v>REL-043</x:v>
      </x:c>
      <x:c r="B48" s="10" t="str">
        <x:v>SRC-022</x:v>
      </x:c>
      <x:c r="C48" s="10" t="str">
        <x:v>DOCUMENTS</x:v>
      </x:c>
      <x:c r="D48" s="10" t="str">
        <x:v>ACT-007</x:v>
      </x:c>
      <x:c r="E48" s="10" t="str">
        <x:v>SRC-022</x:v>
      </x:c>
      <x:c r="F48" s="10" t="str">
        <x:v>SYNTHETIQUE</x:v>
      </x:c>
    </x:row>
    <x:row r="49" ht="28" customHeight="1">
      <x:c r="A49" s="11" t="str">
        <x:v>REL-044</x:v>
      </x:c>
      <x:c r="B49" s="11" t="str">
        <x:v>SRC-022</x:v>
      </x:c>
      <x:c r="C49" s="11" t="str">
        <x:v>DOCUMENTS</x:v>
      </x:c>
      <x:c r="D49" s="11" t="str">
        <x:v>ACT-008</x:v>
      </x:c>
      <x:c r="E49" s="11" t="str">
        <x:v>SRC-022</x:v>
      </x:c>
      <x:c r="F49" s="11" t="str">
        <x:v>SYNTHETIQUE</x:v>
      </x:c>
    </x:row>
    <x:row r="50" ht="28" customHeight="1">
      <x:c r="A50" s="10" t="str">
        <x:v>REL-045</x:v>
      </x:c>
      <x:c r="B50" s="10" t="str">
        <x:v>SRC-023</x:v>
      </x:c>
      <x:c r="C50" s="10" t="str">
        <x:v>DOCUMENTS</x:v>
      </x:c>
      <x:c r="D50" s="10" t="str">
        <x:v>ACT-007</x:v>
      </x:c>
      <x:c r="E50" s="10" t="str">
        <x:v>SRC-023</x:v>
      </x:c>
      <x:c r="F50" s="10" t="str">
        <x:v>SYNTHETIQUE</x:v>
      </x:c>
    </x:row>
    <x:row r="51" ht="28" customHeight="1">
      <x:c r="A51" s="11" t="str">
        <x:v>REL-046</x:v>
      </x:c>
      <x:c r="B51" s="11" t="str">
        <x:v>SRC-023</x:v>
      </x:c>
      <x:c r="C51" s="11" t="str">
        <x:v>DOCUMENTS</x:v>
      </x:c>
      <x:c r="D51" s="11" t="str">
        <x:v>ACT-008</x:v>
      </x:c>
      <x:c r="E51" s="11" t="str">
        <x:v>SRC-023</x:v>
      </x:c>
      <x:c r="F51" s="11" t="str">
        <x:v>SYNTHETIQUE</x:v>
      </x:c>
    </x:row>
    <x:row r="52" ht="28" customHeight="1">
      <x:c r="A52" s="10" t="str">
        <x:v>REL-047</x:v>
      </x:c>
      <x:c r="B52" s="10" t="str">
        <x:v>SRC-024</x:v>
      </x:c>
      <x:c r="C52" s="10" t="str">
        <x:v>DOCUMENTS</x:v>
      </x:c>
      <x:c r="D52" s="10" t="str">
        <x:v>ACT-007</x:v>
      </x:c>
      <x:c r="E52" s="10" t="str">
        <x:v>SRC-024</x:v>
      </x:c>
      <x:c r="F52" s="10" t="str">
        <x:v>SYNTHETIQUE</x:v>
      </x:c>
    </x:row>
    <x:row r="53" ht="28" customHeight="1">
      <x:c r="A53" s="11" t="str">
        <x:v>REL-048</x:v>
      </x:c>
      <x:c r="B53" s="11" t="str">
        <x:v>SRC-024</x:v>
      </x:c>
      <x:c r="C53" s="11" t="str">
        <x:v>DOCUMENTS</x:v>
      </x:c>
      <x:c r="D53" s="11" t="str">
        <x:v>ACT-008</x:v>
      </x:c>
      <x:c r="E53" s="11" t="str">
        <x:v>SRC-024</x:v>
      </x:c>
      <x:c r="F53" s="11" t="str">
        <x:v>SYNTHETIQUE</x:v>
      </x:c>
    </x:row>
    <x:row r="54" ht="28" customHeight="1">
      <x:c r="A54" s="10" t="str">
        <x:v>REL-049</x:v>
      </x:c>
      <x:c r="B54" s="10" t="str">
        <x:v>SRC-025</x:v>
      </x:c>
      <x:c r="C54" s="10" t="str">
        <x:v>DOCUMENTS</x:v>
      </x:c>
      <x:c r="D54" s="10" t="str">
        <x:v>ACT-009</x:v>
      </x:c>
      <x:c r="E54" s="10" t="str">
        <x:v>SRC-025</x:v>
      </x:c>
      <x:c r="F54" s="10" t="str">
        <x:v>SYNTHETIQUE</x:v>
      </x:c>
    </x:row>
    <x:row r="55" ht="28" customHeight="1">
      <x:c r="A55" s="11" t="str">
        <x:v>REL-050</x:v>
      </x:c>
      <x:c r="B55" s="11" t="str">
        <x:v>SRC-025</x:v>
      </x:c>
      <x:c r="C55" s="11" t="str">
        <x:v>DOCUMENTS</x:v>
      </x:c>
      <x:c r="D55" s="11" t="str">
        <x:v>ACT-010</x:v>
      </x:c>
      <x:c r="E55" s="11" t="str">
        <x:v>SRC-025</x:v>
      </x:c>
      <x:c r="F55" s="11" t="str">
        <x:v>SYNTHETIQUE</x:v>
      </x:c>
    </x:row>
    <x:row r="56" ht="28" customHeight="1">
      <x:c r="A56" s="10" t="str">
        <x:v>REL-051</x:v>
      </x:c>
      <x:c r="B56" s="10" t="str">
        <x:v>SRC-026</x:v>
      </x:c>
      <x:c r="C56" s="10" t="str">
        <x:v>DOCUMENTS</x:v>
      </x:c>
      <x:c r="D56" s="10" t="str">
        <x:v>ACT-009</x:v>
      </x:c>
      <x:c r="E56" s="10" t="str">
        <x:v>SRC-026</x:v>
      </x:c>
      <x:c r="F56" s="10" t="str">
        <x:v>SYNTHETIQUE</x:v>
      </x:c>
    </x:row>
    <x:row r="57" ht="28" customHeight="1">
      <x:c r="A57" s="11" t="str">
        <x:v>REL-052</x:v>
      </x:c>
      <x:c r="B57" s="11" t="str">
        <x:v>SRC-026</x:v>
      </x:c>
      <x:c r="C57" s="11" t="str">
        <x:v>DOCUMENTS</x:v>
      </x:c>
      <x:c r="D57" s="11" t="str">
        <x:v>ACT-010</x:v>
      </x:c>
      <x:c r="E57" s="11" t="str">
        <x:v>SRC-026</x:v>
      </x:c>
      <x:c r="F57" s="11" t="str">
        <x:v>SYNTHETIQUE</x:v>
      </x:c>
    </x:row>
    <x:row r="58" ht="28" customHeight="1">
      <x:c r="A58" s="10" t="str">
        <x:v>REL-053</x:v>
      </x:c>
      <x:c r="B58" s="10" t="str">
        <x:v>SRC-027</x:v>
      </x:c>
      <x:c r="C58" s="10" t="str">
        <x:v>DOCUMENTS</x:v>
      </x:c>
      <x:c r="D58" s="10" t="str">
        <x:v>ACT-009</x:v>
      </x:c>
      <x:c r="E58" s="10" t="str">
        <x:v>SRC-027</x:v>
      </x:c>
      <x:c r="F58" s="10" t="str">
        <x:v>SYNTHETIQUE</x:v>
      </x:c>
    </x:row>
    <x:row r="59" ht="28" customHeight="1">
      <x:c r="A59" s="11" t="str">
        <x:v>REL-054</x:v>
      </x:c>
      <x:c r="B59" s="11" t="str">
        <x:v>SRC-027</x:v>
      </x:c>
      <x:c r="C59" s="11" t="str">
        <x:v>DOCUMENTS</x:v>
      </x:c>
      <x:c r="D59" s="11" t="str">
        <x:v>ACT-010</x:v>
      </x:c>
      <x:c r="E59" s="11" t="str">
        <x:v>SRC-027</x:v>
      </x:c>
      <x:c r="F59" s="11" t="str">
        <x:v>SYNTHETIQUE</x:v>
      </x:c>
    </x:row>
    <x:row r="60" ht="28" customHeight="1">
      <x:c r="A60" s="10" t="str">
        <x:v>REL-055</x:v>
      </x:c>
      <x:c r="B60" s="10" t="str">
        <x:v>SRC-028</x:v>
      </x:c>
      <x:c r="C60" s="10" t="str">
        <x:v>DOCUMENTS</x:v>
      </x:c>
      <x:c r="D60" s="10" t="str">
        <x:v>ACT-009</x:v>
      </x:c>
      <x:c r="E60" s="10" t="str">
        <x:v>SRC-028</x:v>
      </x:c>
      <x:c r="F60" s="10" t="str">
        <x:v>SYNTHETIQUE</x:v>
      </x:c>
    </x:row>
    <x:row r="61" ht="28" customHeight="1">
      <x:c r="A61" s="11" t="str">
        <x:v>REL-056</x:v>
      </x:c>
      <x:c r="B61" s="11" t="str">
        <x:v>SRC-028</x:v>
      </x:c>
      <x:c r="C61" s="11" t="str">
        <x:v>DOCUMENTS</x:v>
      </x:c>
      <x:c r="D61" s="11" t="str">
        <x:v>ACT-010</x:v>
      </x:c>
      <x:c r="E61" s="11" t="str">
        <x:v>SRC-028</x:v>
      </x:c>
      <x:c r="F61" s="11" t="str">
        <x:v>SYNTHETIQUE</x:v>
      </x:c>
    </x:row>
    <x:row r="62" ht="28" customHeight="1">
      <x:c r="A62" s="10" t="str">
        <x:v>REL-057</x:v>
      </x:c>
      <x:c r="B62" s="10" t="str">
        <x:v>SRC-029</x:v>
      </x:c>
      <x:c r="C62" s="10" t="str">
        <x:v>DOCUMENTS</x:v>
      </x:c>
      <x:c r="D62" s="10" t="str">
        <x:v>ACT-009</x:v>
      </x:c>
      <x:c r="E62" s="10" t="str">
        <x:v>SRC-029</x:v>
      </x:c>
      <x:c r="F62" s="10" t="str">
        <x:v>SYNTHETIQUE</x:v>
      </x:c>
    </x:row>
    <x:row r="63" ht="28" customHeight="1">
      <x:c r="A63" s="11" t="str">
        <x:v>REL-058</x:v>
      </x:c>
      <x:c r="B63" s="11" t="str">
        <x:v>SRC-029</x:v>
      </x:c>
      <x:c r="C63" s="11" t="str">
        <x:v>DOCUMENTS</x:v>
      </x:c>
      <x:c r="D63" s="11" t="str">
        <x:v>ACT-010</x:v>
      </x:c>
      <x:c r="E63" s="11" t="str">
        <x:v>SRC-029</x:v>
      </x:c>
      <x:c r="F63" s="11" t="str">
        <x:v>SYNTHETIQUE</x:v>
      </x:c>
    </x:row>
    <x:row r="64" ht="28" customHeight="1">
      <x:c r="A64" s="10" t="str">
        <x:v>REL-059</x:v>
      </x:c>
      <x:c r="B64" s="10" t="str">
        <x:v>SRC-030</x:v>
      </x:c>
      <x:c r="C64" s="10" t="str">
        <x:v>DOCUMENTS</x:v>
      </x:c>
      <x:c r="D64" s="10" t="str">
        <x:v>ACT-009</x:v>
      </x:c>
      <x:c r="E64" s="10" t="str">
        <x:v>SRC-030</x:v>
      </x:c>
      <x:c r="F64" s="10" t="str">
        <x:v>SYNTHETIQUE</x:v>
      </x:c>
    </x:row>
    <x:row r="65" ht="28" customHeight="1">
      <x:c r="A65" s="11" t="str">
        <x:v>REL-060</x:v>
      </x:c>
      <x:c r="B65" s="11" t="str">
        <x:v>SRC-030</x:v>
      </x:c>
      <x:c r="C65" s="11" t="str">
        <x:v>DOCUMENTS</x:v>
      </x:c>
      <x:c r="D65" s="11" t="str">
        <x:v>ACT-010</x:v>
      </x:c>
      <x:c r="E65" s="11" t="str">
        <x:v>SRC-030</x:v>
      </x:c>
      <x:c r="F65" s="11" t="str">
        <x:v>SYNTHETIQUE</x:v>
      </x:c>
    </x:row>
    <x:row r="66" ht="28" customHeight="1">
      <x:c r="A66" s="10" t="str">
        <x:v>REL-061</x:v>
      </x:c>
      <x:c r="B66" s="10" t="str">
        <x:v>SRC-031</x:v>
      </x:c>
      <x:c r="C66" s="10" t="str">
        <x:v>DOCUMENTS</x:v>
      </x:c>
      <x:c r="D66" s="10" t="str">
        <x:v>ACT-011</x:v>
      </x:c>
      <x:c r="E66" s="10" t="str">
        <x:v>SRC-031</x:v>
      </x:c>
      <x:c r="F66" s="10" t="str">
        <x:v>SYNTHETIQUE</x:v>
      </x:c>
    </x:row>
    <x:row r="67" ht="28" customHeight="1">
      <x:c r="A67" s="11" t="str">
        <x:v>REL-062</x:v>
      </x:c>
      <x:c r="B67" s="11" t="str">
        <x:v>SRC-031</x:v>
      </x:c>
      <x:c r="C67" s="11" t="str">
        <x:v>DOCUMENTS</x:v>
      </x:c>
      <x:c r="D67" s="11" t="str">
        <x:v>ACT-012</x:v>
      </x:c>
      <x:c r="E67" s="11" t="str">
        <x:v>SRC-031</x:v>
      </x:c>
      <x:c r="F67" s="11" t="str">
        <x:v>SYNTHETIQUE</x:v>
      </x:c>
    </x:row>
    <x:row r="68" ht="28" customHeight="1">
      <x:c r="A68" s="10" t="str">
        <x:v>REL-063</x:v>
      </x:c>
      <x:c r="B68" s="10" t="str">
        <x:v>SRC-032</x:v>
      </x:c>
      <x:c r="C68" s="10" t="str">
        <x:v>DOCUMENTS</x:v>
      </x:c>
      <x:c r="D68" s="10" t="str">
        <x:v>ACT-011</x:v>
      </x:c>
      <x:c r="E68" s="10" t="str">
        <x:v>SRC-032</x:v>
      </x:c>
      <x:c r="F68" s="10" t="str">
        <x:v>SYNTHETIQUE</x:v>
      </x:c>
    </x:row>
    <x:row r="69" ht="28" customHeight="1">
      <x:c r="A69" s="11" t="str">
        <x:v>REL-064</x:v>
      </x:c>
      <x:c r="B69" s="11" t="str">
        <x:v>SRC-032</x:v>
      </x:c>
      <x:c r="C69" s="11" t="str">
        <x:v>DOCUMENTS</x:v>
      </x:c>
      <x:c r="D69" s="11" t="str">
        <x:v>ACT-012</x:v>
      </x:c>
      <x:c r="E69" s="11" t="str">
        <x:v>SRC-032</x:v>
      </x:c>
      <x:c r="F69" s="11" t="str">
        <x:v>SYNTHETIQUE</x:v>
      </x:c>
    </x:row>
    <x:row r="70" ht="28" customHeight="1">
      <x:c r="A70" s="10" t="str">
        <x:v>REL-065</x:v>
      </x:c>
      <x:c r="B70" s="10" t="str">
        <x:v>SRC-033</x:v>
      </x:c>
      <x:c r="C70" s="10" t="str">
        <x:v>DOCUMENTS</x:v>
      </x:c>
      <x:c r="D70" s="10" t="str">
        <x:v>ACT-011</x:v>
      </x:c>
      <x:c r="E70" s="10" t="str">
        <x:v>SRC-033</x:v>
      </x:c>
      <x:c r="F70" s="10" t="str">
        <x:v>SYNTHETIQUE</x:v>
      </x:c>
    </x:row>
    <x:row r="71" ht="28" customHeight="1">
      <x:c r="A71" s="11" t="str">
        <x:v>REL-066</x:v>
      </x:c>
      <x:c r="B71" s="11" t="str">
        <x:v>SRC-033</x:v>
      </x:c>
      <x:c r="C71" s="11" t="str">
        <x:v>DOCUMENTS</x:v>
      </x:c>
      <x:c r="D71" s="11" t="str">
        <x:v>ACT-012</x:v>
      </x:c>
      <x:c r="E71" s="11" t="str">
        <x:v>SRC-033</x:v>
      </x:c>
      <x:c r="F71" s="11" t="str">
        <x:v>SYNTHETIQUE</x:v>
      </x:c>
    </x:row>
    <x:row r="72" ht="28" customHeight="1">
      <x:c r="A72" s="10" t="str">
        <x:v>REL-067</x:v>
      </x:c>
      <x:c r="B72" s="10" t="str">
        <x:v>SRC-034</x:v>
      </x:c>
      <x:c r="C72" s="10" t="str">
        <x:v>DOCUMENTS</x:v>
      </x:c>
      <x:c r="D72" s="10" t="str">
        <x:v>ACT-011</x:v>
      </x:c>
      <x:c r="E72" s="10" t="str">
        <x:v>SRC-034</x:v>
      </x:c>
      <x:c r="F72" s="10" t="str">
        <x:v>SYNTHETIQUE</x:v>
      </x:c>
    </x:row>
    <x:row r="73" ht="28" customHeight="1">
      <x:c r="A73" s="11" t="str">
        <x:v>REL-068</x:v>
      </x:c>
      <x:c r="B73" s="11" t="str">
        <x:v>SRC-034</x:v>
      </x:c>
      <x:c r="C73" s="11" t="str">
        <x:v>DOCUMENTS</x:v>
      </x:c>
      <x:c r="D73" s="11" t="str">
        <x:v>ACT-012</x:v>
      </x:c>
      <x:c r="E73" s="11" t="str">
        <x:v>SRC-034</x:v>
      </x:c>
      <x:c r="F73" s="11" t="str">
        <x:v>SYNTHETIQUE</x:v>
      </x:c>
    </x:row>
    <x:row r="74" ht="28" customHeight="1">
      <x:c r="A74" s="10" t="str">
        <x:v>REL-069</x:v>
      </x:c>
      <x:c r="B74" s="10" t="str">
        <x:v>SRC-035</x:v>
      </x:c>
      <x:c r="C74" s="10" t="str">
        <x:v>DOCUMENTS</x:v>
      </x:c>
      <x:c r="D74" s="10" t="str">
        <x:v>ACT-011</x:v>
      </x:c>
      <x:c r="E74" s="10" t="str">
        <x:v>SRC-035</x:v>
      </x:c>
      <x:c r="F74" s="10" t="str">
        <x:v>SYNTHETIQUE</x:v>
      </x:c>
    </x:row>
    <x:row r="75" ht="28" customHeight="1">
      <x:c r="A75" s="11" t="str">
        <x:v>REL-070</x:v>
      </x:c>
      <x:c r="B75" s="11" t="str">
        <x:v>SRC-035</x:v>
      </x:c>
      <x:c r="C75" s="11" t="str">
        <x:v>DOCUMENTS</x:v>
      </x:c>
      <x:c r="D75" s="11" t="str">
        <x:v>ACT-012</x:v>
      </x:c>
      <x:c r="E75" s="11" t="str">
        <x:v>SRC-035</x:v>
      </x:c>
      <x:c r="F75" s="11" t="str">
        <x:v>SYNTHETIQUE</x:v>
      </x:c>
    </x:row>
    <x:row r="76" ht="28" customHeight="1">
      <x:c r="A76" s="10" t="str">
        <x:v>REL-071</x:v>
      </x:c>
      <x:c r="B76" s="10" t="str">
        <x:v>SRC-036</x:v>
      </x:c>
      <x:c r="C76" s="10" t="str">
        <x:v>DOCUMENTS</x:v>
      </x:c>
      <x:c r="D76" s="10" t="str">
        <x:v>ACT-011</x:v>
      </x:c>
      <x:c r="E76" s="10" t="str">
        <x:v>SRC-036</x:v>
      </x:c>
      <x:c r="F76" s="10" t="str">
        <x:v>SYNTHETIQUE</x:v>
      </x:c>
    </x:row>
    <x:row r="77" ht="28" customHeight="1">
      <x:c r="A77" s="11" t="str">
        <x:v>REL-072</x:v>
      </x:c>
      <x:c r="B77" s="11" t="str">
        <x:v>SRC-036</x:v>
      </x:c>
      <x:c r="C77" s="11" t="str">
        <x:v>DOCUMENTS</x:v>
      </x:c>
      <x:c r="D77" s="11" t="str">
        <x:v>ACT-012</x:v>
      </x:c>
      <x:c r="E77" s="11" t="str">
        <x:v>SRC-036</x:v>
      </x:c>
      <x:c r="F77" s="11" t="str">
        <x:v>SYNTHETIQUE</x:v>
      </x:c>
    </x:row>
    <x:row r="78" ht="28" customHeight="1">
      <x:c r="A78" s="10" t="str">
        <x:v>REL-073</x:v>
      </x:c>
      <x:c r="B78" s="10" t="str">
        <x:v>SRC-037</x:v>
      </x:c>
      <x:c r="C78" s="10" t="str">
        <x:v>DOCUMENTS</x:v>
      </x:c>
      <x:c r="D78" s="10" t="str">
        <x:v>ACT-011</x:v>
      </x:c>
      <x:c r="E78" s="10" t="str">
        <x:v>SRC-037</x:v>
      </x:c>
      <x:c r="F78" s="10" t="str">
        <x:v>SYNTHETIQUE</x:v>
      </x:c>
    </x:row>
    <x:row r="79" ht="28" customHeight="1">
      <x:c r="A79" s="11" t="str">
        <x:v>REL-074</x:v>
      </x:c>
      <x:c r="B79" s="11" t="str">
        <x:v>SRC-037</x:v>
      </x:c>
      <x:c r="C79" s="11" t="str">
        <x:v>DOCUMENTS</x:v>
      </x:c>
      <x:c r="D79" s="11" t="str">
        <x:v>ACT-012</x:v>
      </x:c>
      <x:c r="E79" s="11" t="str">
        <x:v>SRC-037</x:v>
      </x:c>
      <x:c r="F79" s="11" t="str">
        <x:v>SYNTHETIQUE</x:v>
      </x:c>
    </x:row>
    <x:row r="80" ht="28" customHeight="1">
      <x:c r="A80" s="10" t="str">
        <x:v>REL-075</x:v>
      </x:c>
      <x:c r="B80" s="10" t="str">
        <x:v>SRC-038</x:v>
      </x:c>
      <x:c r="C80" s="10" t="str">
        <x:v>DOCUMENTS</x:v>
      </x:c>
      <x:c r="D80" s="10" t="str">
        <x:v>ACT-011</x:v>
      </x:c>
      <x:c r="E80" s="10" t="str">
        <x:v>SRC-038</x:v>
      </x:c>
      <x:c r="F80" s="10" t="str">
        <x:v>SYNTHETIQUE</x:v>
      </x:c>
    </x:row>
    <x:row r="81" ht="28" customHeight="1">
      <x:c r="A81" s="11" t="str">
        <x:v>REL-076</x:v>
      </x:c>
      <x:c r="B81" s="11" t="str">
        <x:v>SRC-038</x:v>
      </x:c>
      <x:c r="C81" s="11" t="str">
        <x:v>DOCUMENTS</x:v>
      </x:c>
      <x:c r="D81" s="11" t="str">
        <x:v>ACT-012</x:v>
      </x:c>
      <x:c r="E81" s="11" t="str">
        <x:v>SRC-038</x:v>
      </x:c>
      <x:c r="F81" s="11" t="str">
        <x:v>SYNTHETIQUE</x:v>
      </x:c>
    </x:row>
    <x:row r="82" ht="28" customHeight="1">
      <x:c r="A82" s="10" t="str">
        <x:v>REL-077</x:v>
      </x:c>
      <x:c r="B82" s="10" t="str">
        <x:v>SRC-039</x:v>
      </x:c>
      <x:c r="C82" s="10" t="str">
        <x:v>DOCUMENTS</x:v>
      </x:c>
      <x:c r="D82" s="10" t="str">
        <x:v>ACT-013</x:v>
      </x:c>
      <x:c r="E82" s="10" t="str">
        <x:v>SRC-039</x:v>
      </x:c>
      <x:c r="F82" s="10" t="str">
        <x:v>SYNTHETIQUE</x:v>
      </x:c>
    </x:row>
    <x:row r="83" ht="28" customHeight="1">
      <x:c r="A83" s="11" t="str">
        <x:v>REL-078</x:v>
      </x:c>
      <x:c r="B83" s="11" t="str">
        <x:v>SRC-039</x:v>
      </x:c>
      <x:c r="C83" s="11" t="str">
        <x:v>DOCUMENTS</x:v>
      </x:c>
      <x:c r="D83" s="11" t="str">
        <x:v>ACT-014</x:v>
      </x:c>
      <x:c r="E83" s="11" t="str">
        <x:v>SRC-039</x:v>
      </x:c>
      <x:c r="F83" s="11" t="str">
        <x:v>SYNTHETIQUE</x:v>
      </x:c>
    </x:row>
    <x:row r="84" ht="28" customHeight="1">
      <x:c r="A84" s="10" t="str">
        <x:v>REL-079</x:v>
      </x:c>
      <x:c r="B84" s="10" t="str">
        <x:v>SRC-040</x:v>
      </x:c>
      <x:c r="C84" s="10" t="str">
        <x:v>DOCUMENTS</x:v>
      </x:c>
      <x:c r="D84" s="10" t="str">
        <x:v>ACT-013</x:v>
      </x:c>
      <x:c r="E84" s="10" t="str">
        <x:v>SRC-040</x:v>
      </x:c>
      <x:c r="F84" s="10" t="str">
        <x:v>SYNTHETIQUE</x:v>
      </x:c>
    </x:row>
    <x:row r="85" ht="28" customHeight="1">
      <x:c r="A85" s="11" t="str">
        <x:v>REL-080</x:v>
      </x:c>
      <x:c r="B85" s="11" t="str">
        <x:v>SRC-040</x:v>
      </x:c>
      <x:c r="C85" s="11" t="str">
        <x:v>DOCUMENTS</x:v>
      </x:c>
      <x:c r="D85" s="11" t="str">
        <x:v>ACT-014</x:v>
      </x:c>
      <x:c r="E85" s="11" t="str">
        <x:v>SRC-040</x:v>
      </x:c>
      <x:c r="F85" s="11" t="str">
        <x:v>SYNTHETIQUE</x:v>
      </x:c>
    </x:row>
    <x:row r="86" ht="28" customHeight="1">
      <x:c r="A86" s="10" t="str">
        <x:v>REL-081</x:v>
      </x:c>
      <x:c r="B86" s="10" t="str">
        <x:v>SRC-041</x:v>
      </x:c>
      <x:c r="C86" s="10" t="str">
        <x:v>DOCUMENTS</x:v>
      </x:c>
      <x:c r="D86" s="10" t="str">
        <x:v>ACT-013</x:v>
      </x:c>
      <x:c r="E86" s="10" t="str">
        <x:v>SRC-041</x:v>
      </x:c>
      <x:c r="F86" s="10" t="str">
        <x:v>SYNTHETIQUE</x:v>
      </x:c>
    </x:row>
    <x:row r="87" ht="28" customHeight="1">
      <x:c r="A87" s="11" t="str">
        <x:v>REL-082</x:v>
      </x:c>
      <x:c r="B87" s="11" t="str">
        <x:v>SRC-041</x:v>
      </x:c>
      <x:c r="C87" s="11" t="str">
        <x:v>DOCUMENTS</x:v>
      </x:c>
      <x:c r="D87" s="11" t="str">
        <x:v>ACT-014</x:v>
      </x:c>
      <x:c r="E87" s="11" t="str">
        <x:v>SRC-041</x:v>
      </x:c>
      <x:c r="F87" s="11" t="str">
        <x:v>SYNTHETIQUE</x:v>
      </x:c>
    </x:row>
    <x:row r="88" ht="28" customHeight="1">
      <x:c r="A88" s="10" t="str">
        <x:v>REL-083</x:v>
      </x:c>
      <x:c r="B88" s="10" t="str">
        <x:v>SRC-042</x:v>
      </x:c>
      <x:c r="C88" s="10" t="str">
        <x:v>DOCUMENTS</x:v>
      </x:c>
      <x:c r="D88" s="10" t="str">
        <x:v>ACT-013</x:v>
      </x:c>
      <x:c r="E88" s="10" t="str">
        <x:v>SRC-042</x:v>
      </x:c>
      <x:c r="F88" s="10" t="str">
        <x:v>SYNTHETIQUE</x:v>
      </x:c>
    </x:row>
    <x:row r="89" ht="28" customHeight="1">
      <x:c r="A89" s="11" t="str">
        <x:v>REL-084</x:v>
      </x:c>
      <x:c r="B89" s="11" t="str">
        <x:v>SRC-042</x:v>
      </x:c>
      <x:c r="C89" s="11" t="str">
        <x:v>DOCUMENTS</x:v>
      </x:c>
      <x:c r="D89" s="11" t="str">
        <x:v>ACT-014</x:v>
      </x:c>
      <x:c r="E89" s="11" t="str">
        <x:v>SRC-042</x:v>
      </x:c>
      <x:c r="F89" s="11" t="str">
        <x:v>SYNTHETIQUE</x:v>
      </x:c>
    </x:row>
    <x:row r="90" ht="28" customHeight="1">
      <x:c r="A90" s="10" t="str">
        <x:v>REL-085</x:v>
      </x:c>
      <x:c r="B90" s="10" t="str">
        <x:v>SRC-043</x:v>
      </x:c>
      <x:c r="C90" s="10" t="str">
        <x:v>DOCUMENTS</x:v>
      </x:c>
      <x:c r="D90" s="10" t="str">
        <x:v>ACT-013</x:v>
      </x:c>
      <x:c r="E90" s="10" t="str">
        <x:v>SRC-043</x:v>
      </x:c>
      <x:c r="F90" s="10" t="str">
        <x:v>SYNTHETIQUE</x:v>
      </x:c>
    </x:row>
    <x:row r="91" ht="28" customHeight="1">
      <x:c r="A91" s="11" t="str">
        <x:v>REL-086</x:v>
      </x:c>
      <x:c r="B91" s="11" t="str">
        <x:v>SRC-043</x:v>
      </x:c>
      <x:c r="C91" s="11" t="str">
        <x:v>DOCUMENTS</x:v>
      </x:c>
      <x:c r="D91" s="11" t="str">
        <x:v>ACT-014</x:v>
      </x:c>
      <x:c r="E91" s="11" t="str">
        <x:v>SRC-043</x:v>
      </x:c>
      <x:c r="F91" s="11" t="str">
        <x:v>SYNTHETIQUE</x:v>
      </x:c>
    </x:row>
    <x:row r="92" ht="28" customHeight="1">
      <x:c r="A92" s="10" t="str">
        <x:v>REL-087</x:v>
      </x:c>
      <x:c r="B92" s="10" t="str">
        <x:v>SRC-044</x:v>
      </x:c>
      <x:c r="C92" s="10" t="str">
        <x:v>DOCUMENTS</x:v>
      </x:c>
      <x:c r="D92" s="10" t="str">
        <x:v>ACT-015</x:v>
      </x:c>
      <x:c r="E92" s="10" t="str">
        <x:v>SRC-044</x:v>
      </x:c>
      <x:c r="F92" s="10" t="str">
        <x:v>SYNTHETIQUE</x:v>
      </x:c>
    </x:row>
    <x:row r="93" ht="28" customHeight="1">
      <x:c r="A93" s="11" t="str">
        <x:v>REL-088</x:v>
      </x:c>
      <x:c r="B93" s="11" t="str">
        <x:v>SRC-044</x:v>
      </x:c>
      <x:c r="C93" s="11" t="str">
        <x:v>DOCUMENTS</x:v>
      </x:c>
      <x:c r="D93" s="11" t="str">
        <x:v>ACT-016</x:v>
      </x:c>
      <x:c r="E93" s="11" t="str">
        <x:v>SRC-044</x:v>
      </x:c>
      <x:c r="F93" s="11" t="str">
        <x:v>SYNTHETIQUE</x:v>
      </x:c>
    </x:row>
    <x:row r="94" ht="28" customHeight="1">
      <x:c r="A94" s="10" t="str">
        <x:v>REL-089</x:v>
      </x:c>
      <x:c r="B94" s="10" t="str">
        <x:v>SRC-045</x:v>
      </x:c>
      <x:c r="C94" s="10" t="str">
        <x:v>DOCUMENTS</x:v>
      </x:c>
      <x:c r="D94" s="10" t="str">
        <x:v>ACT-015</x:v>
      </x:c>
      <x:c r="E94" s="10" t="str">
        <x:v>SRC-045</x:v>
      </x:c>
      <x:c r="F94" s="10" t="str">
        <x:v>SYNTHETIQUE</x:v>
      </x:c>
    </x:row>
    <x:row r="95" ht="28" customHeight="1">
      <x:c r="A95" s="11" t="str">
        <x:v>REL-090</x:v>
      </x:c>
      <x:c r="B95" s="11" t="str">
        <x:v>SRC-045</x:v>
      </x:c>
      <x:c r="C95" s="11" t="str">
        <x:v>DOCUMENTS</x:v>
      </x:c>
      <x:c r="D95" s="11" t="str">
        <x:v>ACT-016</x:v>
      </x:c>
      <x:c r="E95" s="11" t="str">
        <x:v>SRC-045</x:v>
      </x:c>
      <x:c r="F95" s="11" t="str">
        <x:v>SYNTHETIQUE</x:v>
      </x:c>
    </x:row>
    <x:row r="96" ht="28" customHeight="1">
      <x:c r="A96" s="10" t="str">
        <x:v>REL-091</x:v>
      </x:c>
      <x:c r="B96" s="10" t="str">
        <x:v>SRC-046</x:v>
      </x:c>
      <x:c r="C96" s="10" t="str">
        <x:v>DOCUMENTS</x:v>
      </x:c>
      <x:c r="D96" s="10" t="str">
        <x:v>ACT-015</x:v>
      </x:c>
      <x:c r="E96" s="10" t="str">
        <x:v>SRC-046</x:v>
      </x:c>
      <x:c r="F96" s="10" t="str">
        <x:v>SYNTHETIQUE</x:v>
      </x:c>
    </x:row>
    <x:row r="97" ht="28" customHeight="1">
      <x:c r="A97" s="11" t="str">
        <x:v>REL-092</x:v>
      </x:c>
      <x:c r="B97" s="11" t="str">
        <x:v>SRC-046</x:v>
      </x:c>
      <x:c r="C97" s="11" t="str">
        <x:v>DOCUMENTS</x:v>
      </x:c>
      <x:c r="D97" s="11" t="str">
        <x:v>ACT-016</x:v>
      </x:c>
      <x:c r="E97" s="11" t="str">
        <x:v>SRC-046</x:v>
      </x:c>
      <x:c r="F97" s="11" t="str">
        <x:v>SYNTHETIQUE</x:v>
      </x:c>
    </x:row>
    <x:row r="98" ht="28" customHeight="1">
      <x:c r="A98" s="10" t="str">
        <x:v>REL-093</x:v>
      </x:c>
      <x:c r="B98" s="10" t="str">
        <x:v>SRC-047</x:v>
      </x:c>
      <x:c r="C98" s="10" t="str">
        <x:v>DOCUMENTS</x:v>
      </x:c>
      <x:c r="D98" s="10" t="str">
        <x:v>ACT-015</x:v>
      </x:c>
      <x:c r="E98" s="10" t="str">
        <x:v>SRC-047</x:v>
      </x:c>
      <x:c r="F98" s="10" t="str">
        <x:v>SYNTHETIQUE</x:v>
      </x:c>
    </x:row>
    <x:row r="99" ht="28" customHeight="1">
      <x:c r="A99" s="11" t="str">
        <x:v>REL-094</x:v>
      </x:c>
      <x:c r="B99" s="11" t="str">
        <x:v>SRC-047</x:v>
      </x:c>
      <x:c r="C99" s="11" t="str">
        <x:v>DOCUMENTS</x:v>
      </x:c>
      <x:c r="D99" s="11" t="str">
        <x:v>ACT-016</x:v>
      </x:c>
      <x:c r="E99" s="11" t="str">
        <x:v>SRC-047</x:v>
      </x:c>
      <x:c r="F99" s="11" t="str">
        <x:v>SYNTHETIQUE</x:v>
      </x:c>
    </x:row>
    <x:row r="100" ht="28" customHeight="1">
      <x:c r="A100" s="10" t="str">
        <x:v>REL-095</x:v>
      </x:c>
      <x:c r="B100" s="10" t="str">
        <x:v>SRC-048</x:v>
      </x:c>
      <x:c r="C100" s="10" t="str">
        <x:v>DOCUMENTS</x:v>
      </x:c>
      <x:c r="D100" s="10" t="str">
        <x:v>ACT-015</x:v>
      </x:c>
      <x:c r="E100" s="10" t="str">
        <x:v>SRC-048</x:v>
      </x:c>
      <x:c r="F100" s="10" t="str">
        <x:v>SYNTHETIQUE</x:v>
      </x:c>
    </x:row>
    <x:row r="101" ht="28" customHeight="1">
      <x:c r="A101" s="11" t="str">
        <x:v>REL-096</x:v>
      </x:c>
      <x:c r="B101" s="11" t="str">
        <x:v>SRC-048</x:v>
      </x:c>
      <x:c r="C101" s="11" t="str">
        <x:v>DOCUMENTS</x:v>
      </x:c>
      <x:c r="D101" s="11" t="str">
        <x:v>ACT-016</x:v>
      </x:c>
      <x:c r="E101" s="11" t="str">
        <x:v>SRC-048</x:v>
      </x:c>
      <x:c r="F101" s="11" t="str">
        <x:v>SYNTHETIQUE</x:v>
      </x:c>
    </x:row>
    <x:row r="102" ht="28" customHeight="1">
      <x:c r="A102" s="10" t="str">
        <x:v>REL-097</x:v>
      </x:c>
      <x:c r="B102" s="10" t="str">
        <x:v>SRC-049</x:v>
      </x:c>
      <x:c r="C102" s="10" t="str">
        <x:v>DOCUMENTS</x:v>
      </x:c>
      <x:c r="D102" s="10" t="str">
        <x:v>ACT-017</x:v>
      </x:c>
      <x:c r="E102" s="10" t="str">
        <x:v>SRC-049</x:v>
      </x:c>
      <x:c r="F102" s="10" t="str">
        <x:v>SYNTHETIQUE</x:v>
      </x:c>
    </x:row>
    <x:row r="103" ht="28" customHeight="1">
      <x:c r="A103" s="11" t="str">
        <x:v>REL-098</x:v>
      </x:c>
      <x:c r="B103" s="11" t="str">
        <x:v>SRC-049</x:v>
      </x:c>
      <x:c r="C103" s="11" t="str">
        <x:v>DOCUMENTS</x:v>
      </x:c>
      <x:c r="D103" s="11" t="str">
        <x:v>ACT-018</x:v>
      </x:c>
      <x:c r="E103" s="11" t="str">
        <x:v>SRC-049</x:v>
      </x:c>
      <x:c r="F103" s="11" t="str">
        <x:v>SYNTHETIQUE</x:v>
      </x:c>
    </x:row>
    <x:row r="104" ht="28" customHeight="1">
      <x:c r="A104" s="10" t="str">
        <x:v>REL-099</x:v>
      </x:c>
      <x:c r="B104" s="10" t="str">
        <x:v>SRC-050</x:v>
      </x:c>
      <x:c r="C104" s="10" t="str">
        <x:v>DOCUMENTS</x:v>
      </x:c>
      <x:c r="D104" s="10" t="str">
        <x:v>ACT-017</x:v>
      </x:c>
      <x:c r="E104" s="10" t="str">
        <x:v>SRC-050</x:v>
      </x:c>
      <x:c r="F104" s="10" t="str">
        <x:v>SYNTHETIQUE</x:v>
      </x:c>
    </x:row>
    <x:row r="105" ht="28" customHeight="1">
      <x:c r="A105" s="11" t="str">
        <x:v>REL-100</x:v>
      </x:c>
      <x:c r="B105" s="11" t="str">
        <x:v>SRC-050</x:v>
      </x:c>
      <x:c r="C105" s="11" t="str">
        <x:v>DOCUMENTS</x:v>
      </x:c>
      <x:c r="D105" s="11" t="str">
        <x:v>ACT-018</x:v>
      </x:c>
      <x:c r="E105" s="11" t="str">
        <x:v>SRC-050</x:v>
      </x:c>
      <x:c r="F105" s="11" t="str">
        <x:v>SYNTHETIQUE</x:v>
      </x:c>
    </x:row>
    <x:row r="106" ht="28" customHeight="1">
      <x:c r="A106" s="10" t="str">
        <x:v>REL-101</x:v>
      </x:c>
      <x:c r="B106" s="10" t="str">
        <x:v>SRC-051</x:v>
      </x:c>
      <x:c r="C106" s="10" t="str">
        <x:v>DOCUMENTS</x:v>
      </x:c>
      <x:c r="D106" s="10" t="str">
        <x:v>ACT-017</x:v>
      </x:c>
      <x:c r="E106" s="10" t="str">
        <x:v>SRC-051</x:v>
      </x:c>
      <x:c r="F106" s="10" t="str">
        <x:v>SYNTHETIQUE</x:v>
      </x:c>
    </x:row>
    <x:row r="107" ht="28" customHeight="1">
      <x:c r="A107" s="11" t="str">
        <x:v>REL-102</x:v>
      </x:c>
      <x:c r="B107" s="11" t="str">
        <x:v>SRC-051</x:v>
      </x:c>
      <x:c r="C107" s="11" t="str">
        <x:v>DOCUMENTS</x:v>
      </x:c>
      <x:c r="D107" s="11" t="str">
        <x:v>ACT-018</x:v>
      </x:c>
      <x:c r="E107" s="11" t="str">
        <x:v>SRC-051</x:v>
      </x:c>
      <x:c r="F107" s="11" t="str">
        <x:v>SYNTHETIQUE</x:v>
      </x:c>
    </x:row>
    <x:row r="108" ht="28" customHeight="1">
      <x:c r="A108" s="10" t="str">
        <x:v>REL-103</x:v>
      </x:c>
      <x:c r="B108" s="10" t="str">
        <x:v>SRC-052</x:v>
      </x:c>
      <x:c r="C108" s="10" t="str">
        <x:v>DOCUMENTS</x:v>
      </x:c>
      <x:c r="D108" s="10" t="str">
        <x:v>ACT-017</x:v>
      </x:c>
      <x:c r="E108" s="10" t="str">
        <x:v>SRC-052</x:v>
      </x:c>
      <x:c r="F108" s="10" t="str">
        <x:v>SYNTHETIQUE</x:v>
      </x:c>
    </x:row>
    <x:row r="109" ht="28" customHeight="1">
      <x:c r="A109" s="11" t="str">
        <x:v>REL-104</x:v>
      </x:c>
      <x:c r="B109" s="11" t="str">
        <x:v>SRC-052</x:v>
      </x:c>
      <x:c r="C109" s="11" t="str">
        <x:v>DOCUMENTS</x:v>
      </x:c>
      <x:c r="D109" s="11" t="str">
        <x:v>ACT-018</x:v>
      </x:c>
      <x:c r="E109" s="11" t="str">
        <x:v>SRC-052</x:v>
      </x:c>
      <x:c r="F109" s="11" t="str">
        <x:v>SYNTHETIQUE</x:v>
      </x:c>
    </x:row>
    <x:row r="110" ht="28" customHeight="1">
      <x:c r="A110" s="10" t="str">
        <x:v>REL-105</x:v>
      </x:c>
      <x:c r="B110" s="10" t="str">
        <x:v>SRC-053</x:v>
      </x:c>
      <x:c r="C110" s="10" t="str">
        <x:v>DOCUMENTS</x:v>
      </x:c>
      <x:c r="D110" s="10" t="str">
        <x:v>ACT-017</x:v>
      </x:c>
      <x:c r="E110" s="10" t="str">
        <x:v>SRC-053</x:v>
      </x:c>
      <x:c r="F110" s="10" t="str">
        <x:v>SYNTHETIQUE</x:v>
      </x:c>
    </x:row>
    <x:row r="111" ht="28" customHeight="1">
      <x:c r="A111" s="11" t="str">
        <x:v>REL-106</x:v>
      </x:c>
      <x:c r="B111" s="11" t="str">
        <x:v>SRC-053</x:v>
      </x:c>
      <x:c r="C111" s="11" t="str">
        <x:v>DOCUMENTS</x:v>
      </x:c>
      <x:c r="D111" s="11" t="str">
        <x:v>ACT-018</x:v>
      </x:c>
      <x:c r="E111" s="11" t="str">
        <x:v>SRC-053</x:v>
      </x:c>
      <x:c r="F111" s="11" t="str">
        <x:v>SYNTHETIQUE</x:v>
      </x:c>
    </x:row>
    <x:row r="112" ht="28" customHeight="1">
      <x:c r="A112" s="10" t="str">
        <x:v>REL-107</x:v>
      </x:c>
      <x:c r="B112" s="10" t="str">
        <x:v>SRC-054</x:v>
      </x:c>
      <x:c r="C112" s="10" t="str">
        <x:v>DOCUMENTS</x:v>
      </x:c>
      <x:c r="D112" s="10" t="str">
        <x:v>ACT-019</x:v>
      </x:c>
      <x:c r="E112" s="10" t="str">
        <x:v>SRC-054</x:v>
      </x:c>
      <x:c r="F112" s="10" t="str">
        <x:v>SYNTHETIQUE</x:v>
      </x:c>
    </x:row>
    <x:row r="113" ht="28" customHeight="1">
      <x:c r="A113" s="11" t="str">
        <x:v>REL-108</x:v>
      </x:c>
      <x:c r="B113" s="11" t="str">
        <x:v>SRC-054</x:v>
      </x:c>
      <x:c r="C113" s="11" t="str">
        <x:v>DOCUMENTS</x:v>
      </x:c>
      <x:c r="D113" s="11" t="str">
        <x:v>ACT-020</x:v>
      </x:c>
      <x:c r="E113" s="11" t="str">
        <x:v>SRC-054</x:v>
      </x:c>
      <x:c r="F113" s="11" t="str">
        <x:v>SYNTHETIQUE</x:v>
      </x:c>
    </x:row>
    <x:row r="114" ht="28" customHeight="1">
      <x:c r="A114" s="10" t="str">
        <x:v>REL-109</x:v>
      </x:c>
      <x:c r="B114" s="10" t="str">
        <x:v>SRC-055</x:v>
      </x:c>
      <x:c r="C114" s="10" t="str">
        <x:v>DOCUMENTS</x:v>
      </x:c>
      <x:c r="D114" s="10" t="str">
        <x:v>ACT-019</x:v>
      </x:c>
      <x:c r="E114" s="10" t="str">
        <x:v>SRC-055</x:v>
      </x:c>
      <x:c r="F114" s="10" t="str">
        <x:v>SYNTHETIQUE</x:v>
      </x:c>
    </x:row>
    <x:row r="115" ht="28" customHeight="1">
      <x:c r="A115" s="11" t="str">
        <x:v>REL-110</x:v>
      </x:c>
      <x:c r="B115" s="11" t="str">
        <x:v>SRC-055</x:v>
      </x:c>
      <x:c r="C115" s="11" t="str">
        <x:v>DOCUMENTS</x:v>
      </x:c>
      <x:c r="D115" s="11" t="str">
        <x:v>ACT-020</x:v>
      </x:c>
      <x:c r="E115" s="11" t="str">
        <x:v>SRC-055</x:v>
      </x:c>
      <x:c r="F115" s="11" t="str">
        <x:v>SYNTHETIQUE</x:v>
      </x:c>
    </x:row>
    <x:row r="116" ht="28" customHeight="1">
      <x:c r="A116" s="10" t="str">
        <x:v>REL-111</x:v>
      </x:c>
      <x:c r="B116" s="10" t="str">
        <x:v>SRC-056</x:v>
      </x:c>
      <x:c r="C116" s="10" t="str">
        <x:v>DOCUMENTS</x:v>
      </x:c>
      <x:c r="D116" s="10" t="str">
        <x:v>ACT-019</x:v>
      </x:c>
      <x:c r="E116" s="10" t="str">
        <x:v>SRC-056</x:v>
      </x:c>
      <x:c r="F116" s="10" t="str">
        <x:v>SYNTHETIQUE</x:v>
      </x:c>
    </x:row>
    <x:row r="117" ht="28" customHeight="1">
      <x:c r="A117" s="11" t="str">
        <x:v>REL-112</x:v>
      </x:c>
      <x:c r="B117" s="11" t="str">
        <x:v>SRC-056</x:v>
      </x:c>
      <x:c r="C117" s="11" t="str">
        <x:v>DOCUMENTS</x:v>
      </x:c>
      <x:c r="D117" s="11" t="str">
        <x:v>ACT-020</x:v>
      </x:c>
      <x:c r="E117" s="11" t="str">
        <x:v>SRC-056</x:v>
      </x:c>
      <x:c r="F117" s="11" t="str">
        <x:v>SYNTHETIQUE</x:v>
      </x:c>
    </x:row>
    <x:row r="118" ht="28" customHeight="1">
      <x:c r="A118" s="10" t="str">
        <x:v>REL-113</x:v>
      </x:c>
      <x:c r="B118" s="10" t="str">
        <x:v>SRC-057</x:v>
      </x:c>
      <x:c r="C118" s="10" t="str">
        <x:v>DOCUMENTS</x:v>
      </x:c>
      <x:c r="D118" s="10" t="str">
        <x:v>ACT-019</x:v>
      </x:c>
      <x:c r="E118" s="10" t="str">
        <x:v>SRC-057</x:v>
      </x:c>
      <x:c r="F118" s="10" t="str">
        <x:v>SYNTHETIQUE</x:v>
      </x:c>
    </x:row>
    <x:row r="119" ht="28" customHeight="1">
      <x:c r="A119" s="11" t="str">
        <x:v>REL-114</x:v>
      </x:c>
      <x:c r="B119" s="11" t="str">
        <x:v>SRC-057</x:v>
      </x:c>
      <x:c r="C119" s="11" t="str">
        <x:v>DOCUMENTS</x:v>
      </x:c>
      <x:c r="D119" s="11" t="str">
        <x:v>ACT-020</x:v>
      </x:c>
      <x:c r="E119" s="11" t="str">
        <x:v>SRC-057</x:v>
      </x:c>
      <x:c r="F119" s="11" t="str">
        <x:v>SYNTHETIQUE</x:v>
      </x:c>
    </x:row>
    <x:row r="120" ht="28" customHeight="1">
      <x:c r="A120" s="10" t="str">
        <x:v>REL-115</x:v>
      </x:c>
      <x:c r="B120" s="10" t="str">
        <x:v>SRC-058</x:v>
      </x:c>
      <x:c r="C120" s="10" t="str">
        <x:v>DOCUMENTS</x:v>
      </x:c>
      <x:c r="D120" s="10" t="str">
        <x:v>ACT-021</x:v>
      </x:c>
      <x:c r="E120" s="10" t="str">
        <x:v>SRC-058</x:v>
      </x:c>
      <x:c r="F120" s="10" t="str">
        <x:v>SYNTHETIQUE</x:v>
      </x:c>
    </x:row>
    <x:row r="121" ht="28" customHeight="1">
      <x:c r="A121" s="11" t="str">
        <x:v>REL-116</x:v>
      </x:c>
      <x:c r="B121" s="11" t="str">
        <x:v>SRC-058</x:v>
      </x:c>
      <x:c r="C121" s="11" t="str">
        <x:v>DOCUMENTS</x:v>
      </x:c>
      <x:c r="D121" s="11" t="str">
        <x:v>ACT-022</x:v>
      </x:c>
      <x:c r="E121" s="11" t="str">
        <x:v>SRC-058</x:v>
      </x:c>
      <x:c r="F121" s="11" t="str">
        <x:v>SYNTHETIQUE</x:v>
      </x:c>
    </x:row>
    <x:row r="122" ht="28" customHeight="1">
      <x:c r="A122" s="10" t="str">
        <x:v>REL-117</x:v>
      </x:c>
      <x:c r="B122" s="10" t="str">
        <x:v>SRC-059</x:v>
      </x:c>
      <x:c r="C122" s="10" t="str">
        <x:v>DOCUMENTS</x:v>
      </x:c>
      <x:c r="D122" s="10" t="str">
        <x:v>ACT-021</x:v>
      </x:c>
      <x:c r="E122" s="10" t="str">
        <x:v>SRC-059</x:v>
      </x:c>
      <x:c r="F122" s="10" t="str">
        <x:v>SYNTHETIQUE</x:v>
      </x:c>
    </x:row>
    <x:row r="123" ht="28" customHeight="1">
      <x:c r="A123" s="11" t="str">
        <x:v>REL-118</x:v>
      </x:c>
      <x:c r="B123" s="11" t="str">
        <x:v>SRC-059</x:v>
      </x:c>
      <x:c r="C123" s="11" t="str">
        <x:v>DOCUMENTS</x:v>
      </x:c>
      <x:c r="D123" s="11" t="str">
        <x:v>ACT-022</x:v>
      </x:c>
      <x:c r="E123" s="11" t="str">
        <x:v>SRC-059</x:v>
      </x:c>
      <x:c r="F123" s="11" t="str">
        <x:v>SYNTHETIQUE</x:v>
      </x:c>
    </x:row>
    <x:row r="124" ht="28" customHeight="1">
      <x:c r="A124" s="10" t="str">
        <x:v>REL-119</x:v>
      </x:c>
      <x:c r="B124" s="10" t="str">
        <x:v>SRC-060</x:v>
      </x:c>
      <x:c r="C124" s="10" t="str">
        <x:v>DOCUMENTS</x:v>
      </x:c>
      <x:c r="D124" s="10" t="str">
        <x:v>ACT-021</x:v>
      </x:c>
      <x:c r="E124" s="10" t="str">
        <x:v>SRC-060</x:v>
      </x:c>
      <x:c r="F124" s="10" t="str">
        <x:v>SYNTHETIQUE</x:v>
      </x:c>
    </x:row>
    <x:row r="125" ht="28" customHeight="1">
      <x:c r="A125" s="11" t="str">
        <x:v>REL-120</x:v>
      </x:c>
      <x:c r="B125" s="11" t="str">
        <x:v>SRC-060</x:v>
      </x:c>
      <x:c r="C125" s="11" t="str">
        <x:v>DOCUMENTS</x:v>
      </x:c>
      <x:c r="D125" s="11" t="str">
        <x:v>ACT-022</x:v>
      </x:c>
      <x:c r="E125" s="11" t="str">
        <x:v>SRC-060</x:v>
      </x:c>
      <x:c r="F125" s="11" t="str">
        <x:v>SYNTHETIQUE</x:v>
      </x:c>
    </x:row>
    <x:row r="126" ht="28" customHeight="1">
      <x:c r="A126" s="10" t="str">
        <x:v>REL-121</x:v>
      </x:c>
      <x:c r="B126" s="10" t="str">
        <x:v>SRC-061</x:v>
      </x:c>
      <x:c r="C126" s="10" t="str">
        <x:v>DOCUMENTS</x:v>
      </x:c>
      <x:c r="D126" s="10" t="str">
        <x:v>ACT-021</x:v>
      </x:c>
      <x:c r="E126" s="10" t="str">
        <x:v>SRC-061</x:v>
      </x:c>
      <x:c r="F126" s="10" t="str">
        <x:v>SYNTHETIQUE</x:v>
      </x:c>
    </x:row>
    <x:row r="127" ht="28" customHeight="1">
      <x:c r="A127" s="11" t="str">
        <x:v>REL-122</x:v>
      </x:c>
      <x:c r="B127" s="11" t="str">
        <x:v>SRC-061</x:v>
      </x:c>
      <x:c r="C127" s="11" t="str">
        <x:v>DOCUMENTS</x:v>
      </x:c>
      <x:c r="D127" s="11" t="str">
        <x:v>ACT-022</x:v>
      </x:c>
      <x:c r="E127" s="11" t="str">
        <x:v>SRC-061</x:v>
      </x:c>
      <x:c r="F127" s="11" t="str">
        <x:v>SYNTHETIQUE</x:v>
      </x:c>
    </x:row>
    <x:row r="128" ht="28" customHeight="1">
      <x:c r="A128" s="10" t="str">
        <x:v>REL-123</x:v>
      </x:c>
      <x:c r="B128" s="10" t="str">
        <x:v>SRC-062</x:v>
      </x:c>
      <x:c r="C128" s="10" t="str">
        <x:v>DOCUMENTS</x:v>
      </x:c>
      <x:c r="D128" s="10" t="str">
        <x:v>ACT-021</x:v>
      </x:c>
      <x:c r="E128" s="10" t="str">
        <x:v>SRC-062</x:v>
      </x:c>
      <x:c r="F128" s="10" t="str">
        <x:v>SYNTHETIQUE</x:v>
      </x:c>
    </x:row>
    <x:row r="129" ht="28" customHeight="1">
      <x:c r="A129" s="11" t="str">
        <x:v>REL-124</x:v>
      </x:c>
      <x:c r="B129" s="11" t="str">
        <x:v>SRC-062</x:v>
      </x:c>
      <x:c r="C129" s="11" t="str">
        <x:v>DOCUMENTS</x:v>
      </x:c>
      <x:c r="D129" s="11" t="str">
        <x:v>ACT-022</x:v>
      </x:c>
      <x:c r="E129" s="11" t="str">
        <x:v>SRC-062</x:v>
      </x:c>
      <x:c r="F129" s="11" t="str">
        <x:v>SYNTHETIQUE</x:v>
      </x:c>
    </x:row>
    <x:row r="130" ht="28" customHeight="1">
      <x:c r="A130" s="10" t="str">
        <x:v>REL-125</x:v>
      </x:c>
      <x:c r="B130" s="10" t="str">
        <x:v>SRC-063</x:v>
      </x:c>
      <x:c r="C130" s="10" t="str">
        <x:v>DOCUMENTS</x:v>
      </x:c>
      <x:c r="D130" s="10" t="str">
        <x:v>ACT-023</x:v>
      </x:c>
      <x:c r="E130" s="10" t="str">
        <x:v>SRC-063</x:v>
      </x:c>
      <x:c r="F130" s="10" t="str">
        <x:v>SYNTHETIQUE</x:v>
      </x:c>
    </x:row>
    <x:row r="131" ht="28" customHeight="1">
      <x:c r="A131" s="11" t="str">
        <x:v>REL-126</x:v>
      </x:c>
      <x:c r="B131" s="11" t="str">
        <x:v>SRC-063</x:v>
      </x:c>
      <x:c r="C131" s="11" t="str">
        <x:v>DOCUMENTS</x:v>
      </x:c>
      <x:c r="D131" s="11" t="str">
        <x:v>ACT-024</x:v>
      </x:c>
      <x:c r="E131" s="11" t="str">
        <x:v>SRC-063</x:v>
      </x:c>
      <x:c r="F131" s="11" t="str">
        <x:v>SYNTHETIQUE</x:v>
      </x:c>
    </x:row>
    <x:row r="132" ht="28" customHeight="1">
      <x:c r="A132" s="10" t="str">
        <x:v>REL-127</x:v>
      </x:c>
      <x:c r="B132" s="10" t="str">
        <x:v>SRC-064</x:v>
      </x:c>
      <x:c r="C132" s="10" t="str">
        <x:v>DOCUMENTS</x:v>
      </x:c>
      <x:c r="D132" s="10" t="str">
        <x:v>ACT-023</x:v>
      </x:c>
      <x:c r="E132" s="10" t="str">
        <x:v>SRC-064</x:v>
      </x:c>
      <x:c r="F132" s="10" t="str">
        <x:v>SYNTHETIQUE</x:v>
      </x:c>
    </x:row>
    <x:row r="133" ht="28" customHeight="1">
      <x:c r="A133" s="11" t="str">
        <x:v>REL-128</x:v>
      </x:c>
      <x:c r="B133" s="11" t="str">
        <x:v>SRC-064</x:v>
      </x:c>
      <x:c r="C133" s="11" t="str">
        <x:v>DOCUMENTS</x:v>
      </x:c>
      <x:c r="D133" s="11" t="str">
        <x:v>ACT-024</x:v>
      </x:c>
      <x:c r="E133" s="11" t="str">
        <x:v>SRC-064</x:v>
      </x:c>
      <x:c r="F133" s="11" t="str">
        <x:v>SYNTHETIQUE</x:v>
      </x:c>
    </x:row>
    <x:row r="134" ht="28" customHeight="1">
      <x:c r="A134" s="10" t="str">
        <x:v>REL-129</x:v>
      </x:c>
      <x:c r="B134" s="10" t="str">
        <x:v>SRC-065</x:v>
      </x:c>
      <x:c r="C134" s="10" t="str">
        <x:v>DOCUMENTS</x:v>
      </x:c>
      <x:c r="D134" s="10" t="str">
        <x:v>ACT-023</x:v>
      </x:c>
      <x:c r="E134" s="10" t="str">
        <x:v>SRC-065</x:v>
      </x:c>
      <x:c r="F134" s="10" t="str">
        <x:v>SYNTHETIQUE</x:v>
      </x:c>
    </x:row>
    <x:row r="135" ht="28" customHeight="1">
      <x:c r="A135" s="11" t="str">
        <x:v>REL-130</x:v>
      </x:c>
      <x:c r="B135" s="11" t="str">
        <x:v>SRC-065</x:v>
      </x:c>
      <x:c r="C135" s="11" t="str">
        <x:v>DOCUMENTS</x:v>
      </x:c>
      <x:c r="D135" s="11" t="str">
        <x:v>ACT-024</x:v>
      </x:c>
      <x:c r="E135" s="11" t="str">
        <x:v>SRC-065</x:v>
      </x:c>
      <x:c r="F135" s="11" t="str">
        <x:v>SYNTHETIQUE</x:v>
      </x:c>
    </x:row>
    <x:row r="136" ht="28" customHeight="1">
      <x:c r="A136" s="10" t="str">
        <x:v>REL-131</x:v>
      </x:c>
      <x:c r="B136" s="10" t="str">
        <x:v>SRC-066</x:v>
      </x:c>
      <x:c r="C136" s="10" t="str">
        <x:v>DOCUMENTS</x:v>
      </x:c>
      <x:c r="D136" s="10" t="str">
        <x:v>ACT-023</x:v>
      </x:c>
      <x:c r="E136" s="10" t="str">
        <x:v>SRC-066</x:v>
      </x:c>
      <x:c r="F136" s="10" t="str">
        <x:v>SYNTHETIQUE</x:v>
      </x:c>
    </x:row>
    <x:row r="137" ht="28" customHeight="1">
      <x:c r="A137" s="11" t="str">
        <x:v>REL-132</x:v>
      </x:c>
      <x:c r="B137" s="11" t="str">
        <x:v>SRC-066</x:v>
      </x:c>
      <x:c r="C137" s="11" t="str">
        <x:v>DOCUMENTS</x:v>
      </x:c>
      <x:c r="D137" s="11" t="str">
        <x:v>ACT-024</x:v>
      </x:c>
      <x:c r="E137" s="11" t="str">
        <x:v>SRC-066</x:v>
      </x:c>
      <x:c r="F137" s="11" t="str">
        <x:v>SYNTHETIQUE</x:v>
      </x:c>
    </x:row>
    <x:row r="138" ht="28" customHeight="1">
      <x:c r="A138" s="10" t="str">
        <x:v>REL-133</x:v>
      </x:c>
      <x:c r="B138" s="10" t="str">
        <x:v>SRC-067</x:v>
      </x:c>
      <x:c r="C138" s="10" t="str">
        <x:v>DOCUMENTS</x:v>
      </x:c>
      <x:c r="D138" s="10" t="str">
        <x:v>ACT-023</x:v>
      </x:c>
      <x:c r="E138" s="10" t="str">
        <x:v>SRC-067</x:v>
      </x:c>
      <x:c r="F138" s="10" t="str">
        <x:v>SYNTHETIQUE</x:v>
      </x:c>
    </x:row>
    <x:row r="139" ht="28" customHeight="1">
      <x:c r="A139" s="11" t="str">
        <x:v>REL-134</x:v>
      </x:c>
      <x:c r="B139" s="11" t="str">
        <x:v>SRC-067</x:v>
      </x:c>
      <x:c r="C139" s="11" t="str">
        <x:v>DOCUMENTS</x:v>
      </x:c>
      <x:c r="D139" s="11" t="str">
        <x:v>ACT-024</x:v>
      </x:c>
      <x:c r="E139" s="11" t="str">
        <x:v>SRC-067</x:v>
      </x:c>
      <x:c r="F139" s="11" t="str">
        <x:v>SYNTHETIQUE</x:v>
      </x:c>
    </x:row>
    <x:row r="140" ht="28" customHeight="1">
      <x:c r="A140" s="10" t="str">
        <x:v>REL-135</x:v>
      </x:c>
      <x:c r="B140" s="10" t="str">
        <x:v>SRC-068</x:v>
      </x:c>
      <x:c r="C140" s="10" t="str">
        <x:v>DOCUMENTS</x:v>
      </x:c>
      <x:c r="D140" s="10" t="str">
        <x:v>ACT-025</x:v>
      </x:c>
      <x:c r="E140" s="10" t="str">
        <x:v>SRC-068</x:v>
      </x:c>
      <x:c r="F140" s="10" t="str">
        <x:v>SYNTHETIQUE</x:v>
      </x:c>
    </x:row>
    <x:row r="141" ht="28" customHeight="1">
      <x:c r="A141" s="11" t="str">
        <x:v>REL-136</x:v>
      </x:c>
      <x:c r="B141" s="11" t="str">
        <x:v>SRC-068</x:v>
      </x:c>
      <x:c r="C141" s="11" t="str">
        <x:v>DOCUMENTS</x:v>
      </x:c>
      <x:c r="D141" s="11" t="str">
        <x:v>ACT-026</x:v>
      </x:c>
      <x:c r="E141" s="11" t="str">
        <x:v>SRC-068</x:v>
      </x:c>
      <x:c r="F141" s="11" t="str">
        <x:v>SYNTHETIQUE</x:v>
      </x:c>
    </x:row>
    <x:row r="142" ht="28" customHeight="1">
      <x:c r="A142" s="10" t="str">
        <x:v>REL-137</x:v>
      </x:c>
      <x:c r="B142" s="10" t="str">
        <x:v>SRC-069</x:v>
      </x:c>
      <x:c r="C142" s="10" t="str">
        <x:v>DOCUMENTS</x:v>
      </x:c>
      <x:c r="D142" s="10" t="str">
        <x:v>ACT-025</x:v>
      </x:c>
      <x:c r="E142" s="10" t="str">
        <x:v>SRC-069</x:v>
      </x:c>
      <x:c r="F142" s="10" t="str">
        <x:v>SYNTHETIQUE</x:v>
      </x:c>
    </x:row>
    <x:row r="143" ht="28" customHeight="1">
      <x:c r="A143" s="11" t="str">
        <x:v>REL-138</x:v>
      </x:c>
      <x:c r="B143" s="11" t="str">
        <x:v>SRC-069</x:v>
      </x:c>
      <x:c r="C143" s="11" t="str">
        <x:v>DOCUMENTS</x:v>
      </x:c>
      <x:c r="D143" s="11" t="str">
        <x:v>ACT-026</x:v>
      </x:c>
      <x:c r="E143" s="11" t="str">
        <x:v>SRC-069</x:v>
      </x:c>
      <x:c r="F143" s="11" t="str">
        <x:v>SYNTHETIQUE</x:v>
      </x:c>
    </x:row>
    <x:row r="144" ht="28" customHeight="1">
      <x:c r="A144" s="10" t="str">
        <x:v>REL-139</x:v>
      </x:c>
      <x:c r="B144" s="10" t="str">
        <x:v>SRC-070</x:v>
      </x:c>
      <x:c r="C144" s="10" t="str">
        <x:v>DOCUMENTS</x:v>
      </x:c>
      <x:c r="D144" s="10" t="str">
        <x:v>ACT-025</x:v>
      </x:c>
      <x:c r="E144" s="10" t="str">
        <x:v>SRC-070</x:v>
      </x:c>
      <x:c r="F144" s="10" t="str">
        <x:v>SYNTHETIQUE</x:v>
      </x:c>
    </x:row>
    <x:row r="145" ht="28" customHeight="1">
      <x:c r="A145" s="11" t="str">
        <x:v>REL-140</x:v>
      </x:c>
      <x:c r="B145" s="11" t="str">
        <x:v>SRC-070</x:v>
      </x:c>
      <x:c r="C145" s="11" t="str">
        <x:v>DOCUMENTS</x:v>
      </x:c>
      <x:c r="D145" s="11" t="str">
        <x:v>ACT-026</x:v>
      </x:c>
      <x:c r="E145" s="11" t="str">
        <x:v>SRC-070</x:v>
      </x:c>
      <x:c r="F145" s="11" t="str">
        <x:v>SYNTHETIQUE</x:v>
      </x:c>
    </x:row>
    <x:row r="146" ht="28" customHeight="1">
      <x:c r="A146" s="10" t="str">
        <x:v>REL-141</x:v>
      </x:c>
      <x:c r="B146" s="10" t="str">
        <x:v>SRC-071</x:v>
      </x:c>
      <x:c r="C146" s="10" t="str">
        <x:v>DOCUMENTS</x:v>
      </x:c>
      <x:c r="D146" s="10" t="str">
        <x:v>ACT-025</x:v>
      </x:c>
      <x:c r="E146" s="10" t="str">
        <x:v>SRC-071</x:v>
      </x:c>
      <x:c r="F146" s="10" t="str">
        <x:v>SYNTHETIQUE</x:v>
      </x:c>
    </x:row>
    <x:row r="147" ht="28" customHeight="1">
      <x:c r="A147" s="11" t="str">
        <x:v>REL-142</x:v>
      </x:c>
      <x:c r="B147" s="11" t="str">
        <x:v>SRC-071</x:v>
      </x:c>
      <x:c r="C147" s="11" t="str">
        <x:v>DOCUMENTS</x:v>
      </x:c>
      <x:c r="D147" s="11" t="str">
        <x:v>ACT-026</x:v>
      </x:c>
      <x:c r="E147" s="11" t="str">
        <x:v>SRC-071</x:v>
      </x:c>
      <x:c r="F147" s="11" t="str">
        <x:v>SYNTHETIQUE</x:v>
      </x:c>
    </x:row>
    <x:row r="148" ht="28" customHeight="1">
      <x:c r="A148" s="10" t="str">
        <x:v>REL-143</x:v>
      </x:c>
      <x:c r="B148" s="10" t="str">
        <x:v>SRC-072</x:v>
      </x:c>
      <x:c r="C148" s="10" t="str">
        <x:v>DOCUMENTS</x:v>
      </x:c>
      <x:c r="D148" s="10" t="str">
        <x:v>ACT-025</x:v>
      </x:c>
      <x:c r="E148" s="10" t="str">
        <x:v>SRC-072</x:v>
      </x:c>
      <x:c r="F148" s="10" t="str">
        <x:v>SYNTHETIQUE</x:v>
      </x:c>
    </x:row>
    <x:row r="149" ht="28" customHeight="1">
      <x:c r="A149" s="11" t="str">
        <x:v>REL-144</x:v>
      </x:c>
      <x:c r="B149" s="11" t="str">
        <x:v>SRC-072</x:v>
      </x:c>
      <x:c r="C149" s="11" t="str">
        <x:v>DOCUMENTS</x:v>
      </x:c>
      <x:c r="D149" s="11" t="str">
        <x:v>ACT-026</x:v>
      </x:c>
      <x:c r="E149" s="11" t="str">
        <x:v>SRC-072</x:v>
      </x:c>
      <x:c r="F149" s="11" t="str">
        <x:v>SYNTHETIQUE</x:v>
      </x:c>
    </x:row>
    <x:row r="150" ht="28" customHeight="1">
      <x:c r="A150" s="10" t="str">
        <x:v>REL-145</x:v>
      </x:c>
      <x:c r="B150" s="10" t="str">
        <x:v>SRC-073</x:v>
      </x:c>
      <x:c r="C150" s="10" t="str">
        <x:v>DOCUMENTS</x:v>
      </x:c>
      <x:c r="D150" s="10" t="str">
        <x:v>ACT-025</x:v>
      </x:c>
      <x:c r="E150" s="10" t="str">
        <x:v>SRC-073</x:v>
      </x:c>
      <x:c r="F150" s="10" t="str">
        <x:v>SYNTHETIQUE</x:v>
      </x:c>
    </x:row>
    <x:row r="151" ht="28" customHeight="1">
      <x:c r="A151" s="11" t="str">
        <x:v>REL-146</x:v>
      </x:c>
      <x:c r="B151" s="11" t="str">
        <x:v>SRC-073</x:v>
      </x:c>
      <x:c r="C151" s="11" t="str">
        <x:v>DOCUMENTS</x:v>
      </x:c>
      <x:c r="D151" s="11" t="str">
        <x:v>ACT-026</x:v>
      </x:c>
      <x:c r="E151" s="11" t="str">
        <x:v>SRC-073</x:v>
      </x:c>
      <x:c r="F151" s="11" t="str">
        <x:v>SYNTHETIQUE</x:v>
      </x:c>
    </x:row>
    <x:row r="152" ht="28" customHeight="1">
      <x:c r="A152" s="10" t="str">
        <x:v>REL-147</x:v>
      </x:c>
      <x:c r="B152" s="10" t="str">
        <x:v>SRC-074</x:v>
      </x:c>
      <x:c r="C152" s="10" t="str">
        <x:v>DOCUMENTS</x:v>
      </x:c>
      <x:c r="D152" s="10" t="str">
        <x:v>ACT-027</x:v>
      </x:c>
      <x:c r="E152" s="10" t="str">
        <x:v>SRC-074</x:v>
      </x:c>
      <x:c r="F152" s="10" t="str">
        <x:v>SYNTHETIQUE</x:v>
      </x:c>
    </x:row>
    <x:row r="153" ht="28" customHeight="1">
      <x:c r="A153" s="11" t="str">
        <x:v>REL-148</x:v>
      </x:c>
      <x:c r="B153" s="11" t="str">
        <x:v>SRC-074</x:v>
      </x:c>
      <x:c r="C153" s="11" t="str">
        <x:v>DOCUMENTS</x:v>
      </x:c>
      <x:c r="D153" s="11" t="str">
        <x:v>ACT-028</x:v>
      </x:c>
      <x:c r="E153" s="11" t="str">
        <x:v>SRC-074</x:v>
      </x:c>
      <x:c r="F153" s="11" t="str">
        <x:v>SYNTHETIQUE</x:v>
      </x:c>
    </x:row>
    <x:row r="154" ht="28" customHeight="1">
      <x:c r="A154" s="10" t="str">
        <x:v>REL-149</x:v>
      </x:c>
      <x:c r="B154" s="10" t="str">
        <x:v>SRC-075</x:v>
      </x:c>
      <x:c r="C154" s="10" t="str">
        <x:v>DOCUMENTS</x:v>
      </x:c>
      <x:c r="D154" s="10" t="str">
        <x:v>ACT-027</x:v>
      </x:c>
      <x:c r="E154" s="10" t="str">
        <x:v>SRC-075</x:v>
      </x:c>
      <x:c r="F154" s="10" t="str">
        <x:v>SYNTHETIQUE</x:v>
      </x:c>
    </x:row>
    <x:row r="155" ht="28" customHeight="1">
      <x:c r="A155" s="11" t="str">
        <x:v>REL-150</x:v>
      </x:c>
      <x:c r="B155" s="11" t="str">
        <x:v>SRC-075</x:v>
      </x:c>
      <x:c r="C155" s="11" t="str">
        <x:v>DOCUMENTS</x:v>
      </x:c>
      <x:c r="D155" s="11" t="str">
        <x:v>ACT-028</x:v>
      </x:c>
      <x:c r="E155" s="11" t="str">
        <x:v>SRC-075</x:v>
      </x:c>
      <x:c r="F155" s="11" t="str">
        <x:v>SYNTHETIQUE</x:v>
      </x:c>
    </x:row>
    <x:row r="156" ht="28" customHeight="1">
      <x:c r="A156" s="10" t="str">
        <x:v>REL-151</x:v>
      </x:c>
      <x:c r="B156" s="10" t="str">
        <x:v>SRC-076</x:v>
      </x:c>
      <x:c r="C156" s="10" t="str">
        <x:v>DOCUMENTS</x:v>
      </x:c>
      <x:c r="D156" s="10" t="str">
        <x:v>ACT-027</x:v>
      </x:c>
      <x:c r="E156" s="10" t="str">
        <x:v>SRC-076</x:v>
      </x:c>
      <x:c r="F156" s="10" t="str">
        <x:v>SYNTHETIQUE</x:v>
      </x:c>
    </x:row>
    <x:row r="157" ht="28" customHeight="1">
      <x:c r="A157" s="11" t="str">
        <x:v>REL-152</x:v>
      </x:c>
      <x:c r="B157" s="11" t="str">
        <x:v>SRC-076</x:v>
      </x:c>
      <x:c r="C157" s="11" t="str">
        <x:v>DOCUMENTS</x:v>
      </x:c>
      <x:c r="D157" s="11" t="str">
        <x:v>ACT-028</x:v>
      </x:c>
      <x:c r="E157" s="11" t="str">
        <x:v>SRC-076</x:v>
      </x:c>
      <x:c r="F157" s="11" t="str">
        <x:v>SYNTHETIQUE</x:v>
      </x:c>
    </x:row>
    <x:row r="158" ht="28" customHeight="1">
      <x:c r="A158" s="10" t="str">
        <x:v>REL-153</x:v>
      </x:c>
      <x:c r="B158" s="10" t="str">
        <x:v>SRC-077</x:v>
      </x:c>
      <x:c r="C158" s="10" t="str">
        <x:v>DOCUMENTS</x:v>
      </x:c>
      <x:c r="D158" s="10" t="str">
        <x:v>ACT-027</x:v>
      </x:c>
      <x:c r="E158" s="10" t="str">
        <x:v>SRC-077</x:v>
      </x:c>
      <x:c r="F158" s="10" t="str">
        <x:v>SYNTHETIQUE</x:v>
      </x:c>
    </x:row>
    <x:row r="159" ht="28" customHeight="1">
      <x:c r="A159" s="11" t="str">
        <x:v>REL-154</x:v>
      </x:c>
      <x:c r="B159" s="11" t="str">
        <x:v>SRC-077</x:v>
      </x:c>
      <x:c r="C159" s="11" t="str">
        <x:v>DOCUMENTS</x:v>
      </x:c>
      <x:c r="D159" s="11" t="str">
        <x:v>ACT-028</x:v>
      </x:c>
      <x:c r="E159" s="11" t="str">
        <x:v>SRC-077</x:v>
      </x:c>
      <x:c r="F159" s="11" t="str">
        <x:v>SYNTHETIQUE</x:v>
      </x:c>
    </x:row>
    <x:row r="160" ht="28" customHeight="1">
      <x:c r="A160" s="10" t="str">
        <x:v>REL-155</x:v>
      </x:c>
      <x:c r="B160" s="10" t="str">
        <x:v>SRC-078</x:v>
      </x:c>
      <x:c r="C160" s="10" t="str">
        <x:v>DOCUMENTS</x:v>
      </x:c>
      <x:c r="D160" s="10" t="str">
        <x:v>ACT-027</x:v>
      </x:c>
      <x:c r="E160" s="10" t="str">
        <x:v>SRC-078</x:v>
      </x:c>
      <x:c r="F160" s="10" t="str">
        <x:v>SYNTHETIQUE</x:v>
      </x:c>
    </x:row>
    <x:row r="161" ht="28" customHeight="1">
      <x:c r="A161" s="11" t="str">
        <x:v>REL-156</x:v>
      </x:c>
      <x:c r="B161" s="11" t="str">
        <x:v>SRC-078</x:v>
      </x:c>
      <x:c r="C161" s="11" t="str">
        <x:v>DOCUMENTS</x:v>
      </x:c>
      <x:c r="D161" s="11" t="str">
        <x:v>ACT-028</x:v>
      </x:c>
      <x:c r="E161" s="11" t="str">
        <x:v>SRC-078</x:v>
      </x:c>
      <x:c r="F161" s="11" t="str">
        <x:v>SYNTHETIQUE</x:v>
      </x:c>
    </x:row>
    <x:row r="162" ht="28" customHeight="1">
      <x:c r="A162" s="10" t="str">
        <x:v>REL-157</x:v>
      </x:c>
      <x:c r="B162" s="10" t="str">
        <x:v>SRC-079</x:v>
      </x:c>
      <x:c r="C162" s="10" t="str">
        <x:v>DOCUMENTS</x:v>
      </x:c>
      <x:c r="D162" s="10" t="str">
        <x:v>ACT-027</x:v>
      </x:c>
      <x:c r="E162" s="10" t="str">
        <x:v>SRC-079</x:v>
      </x:c>
      <x:c r="F162" s="10" t="str">
        <x:v>SYNTHETIQUE</x:v>
      </x:c>
    </x:row>
    <x:row r="163" ht="28" customHeight="1">
      <x:c r="A163" s="11" t="str">
        <x:v>REL-158</x:v>
      </x:c>
      <x:c r="B163" s="11" t="str">
        <x:v>SRC-079</x:v>
      </x:c>
      <x:c r="C163" s="11" t="str">
        <x:v>DOCUMENTS</x:v>
      </x:c>
      <x:c r="D163" s="11" t="str">
        <x:v>ACT-028</x:v>
      </x:c>
      <x:c r="E163" s="11" t="str">
        <x:v>SRC-079</x:v>
      </x:c>
      <x:c r="F163" s="11" t="str">
        <x:v>SYNTHETIQUE</x:v>
      </x:c>
    </x:row>
    <x:row r="164" ht="28" customHeight="1">
      <x:c r="A164" s="10" t="str">
        <x:v>REL-159</x:v>
      </x:c>
      <x:c r="B164" s="10" t="str">
        <x:v>SRC-080</x:v>
      </x:c>
      <x:c r="C164" s="10" t="str">
        <x:v>DOCUMENTS</x:v>
      </x:c>
      <x:c r="D164" s="10" t="str">
        <x:v>ACT-029</x:v>
      </x:c>
      <x:c r="E164" s="10" t="str">
        <x:v>SRC-080</x:v>
      </x:c>
      <x:c r="F164" s="10" t="str">
        <x:v>SYNTHETIQUE</x:v>
      </x:c>
    </x:row>
    <x:row r="165" ht="28" customHeight="1">
      <x:c r="A165" s="11" t="str">
        <x:v>REL-160</x:v>
      </x:c>
      <x:c r="B165" s="11" t="str">
        <x:v>SRC-080</x:v>
      </x:c>
      <x:c r="C165" s="11" t="str">
        <x:v>DOCUMENTS</x:v>
      </x:c>
      <x:c r="D165" s="11" t="str">
        <x:v>ACT-030</x:v>
      </x:c>
      <x:c r="E165" s="11" t="str">
        <x:v>SRC-080</x:v>
      </x:c>
      <x:c r="F165" s="11" t="str">
        <x:v>SYNTHETIQUE</x:v>
      </x:c>
    </x:row>
    <x:row r="166" ht="28" customHeight="1">
      <x:c r="A166" s="10" t="str">
        <x:v>REL-161</x:v>
      </x:c>
      <x:c r="B166" s="10" t="str">
        <x:v>SRC-081</x:v>
      </x:c>
      <x:c r="C166" s="10" t="str">
        <x:v>DOCUMENTS</x:v>
      </x:c>
      <x:c r="D166" s="10" t="str">
        <x:v>ACT-029</x:v>
      </x:c>
      <x:c r="E166" s="10" t="str">
        <x:v>SRC-081</x:v>
      </x:c>
      <x:c r="F166" s="10" t="str">
        <x:v>SYNTHETIQUE</x:v>
      </x:c>
    </x:row>
    <x:row r="167" ht="28" customHeight="1">
      <x:c r="A167" s="11" t="str">
        <x:v>REL-162</x:v>
      </x:c>
      <x:c r="B167" s="11" t="str">
        <x:v>SRC-081</x:v>
      </x:c>
      <x:c r="C167" s="11" t="str">
        <x:v>DOCUMENTS</x:v>
      </x:c>
      <x:c r="D167" s="11" t="str">
        <x:v>ACT-030</x:v>
      </x:c>
      <x:c r="E167" s="11" t="str">
        <x:v>SRC-081</x:v>
      </x:c>
      <x:c r="F167" s="11" t="str">
        <x:v>SYNTHETIQUE</x:v>
      </x:c>
    </x:row>
    <x:row r="168" ht="28" customHeight="1">
      <x:c r="A168" s="10" t="str">
        <x:v>REL-163</x:v>
      </x:c>
      <x:c r="B168" s="10" t="str">
        <x:v>SRC-082</x:v>
      </x:c>
      <x:c r="C168" s="10" t="str">
        <x:v>DOCUMENTS</x:v>
      </x:c>
      <x:c r="D168" s="10" t="str">
        <x:v>ACT-029</x:v>
      </x:c>
      <x:c r="E168" s="10" t="str">
        <x:v>SRC-082</x:v>
      </x:c>
      <x:c r="F168" s="10" t="str">
        <x:v>SYNTHETIQUE</x:v>
      </x:c>
    </x:row>
    <x:row r="169" ht="28" customHeight="1">
      <x:c r="A169" s="11" t="str">
        <x:v>REL-164</x:v>
      </x:c>
      <x:c r="B169" s="11" t="str">
        <x:v>SRC-082</x:v>
      </x:c>
      <x:c r="C169" s="11" t="str">
        <x:v>DOCUMENTS</x:v>
      </x:c>
      <x:c r="D169" s="11" t="str">
        <x:v>ACT-030</x:v>
      </x:c>
      <x:c r="E169" s="11" t="str">
        <x:v>SRC-082</x:v>
      </x:c>
      <x:c r="F169" s="11" t="str">
        <x:v>SYNTHETIQUE</x:v>
      </x:c>
    </x:row>
    <x:row r="170" ht="28" customHeight="1">
      <x:c r="A170" s="10" t="str">
        <x:v>REL-165</x:v>
      </x:c>
      <x:c r="B170" s="10" t="str">
        <x:v>SRC-083</x:v>
      </x:c>
      <x:c r="C170" s="10" t="str">
        <x:v>DOCUMENTS</x:v>
      </x:c>
      <x:c r="D170" s="10" t="str">
        <x:v>ACT-029</x:v>
      </x:c>
      <x:c r="E170" s="10" t="str">
        <x:v>SRC-083</x:v>
      </x:c>
      <x:c r="F170" s="10" t="str">
        <x:v>SYNTHETIQUE</x:v>
      </x:c>
    </x:row>
    <x:row r="171" ht="28" customHeight="1">
      <x:c r="A171" s="11" t="str">
        <x:v>REL-166</x:v>
      </x:c>
      <x:c r="B171" s="11" t="str">
        <x:v>SRC-083</x:v>
      </x:c>
      <x:c r="C171" s="11" t="str">
        <x:v>DOCUMENTS</x:v>
      </x:c>
      <x:c r="D171" s="11" t="str">
        <x:v>ACT-030</x:v>
      </x:c>
      <x:c r="E171" s="11" t="str">
        <x:v>SRC-083</x:v>
      </x:c>
      <x:c r="F171" s="11" t="str">
        <x:v>SYNTHETIQUE</x:v>
      </x:c>
    </x:row>
    <x:row r="172" ht="28" customHeight="1">
      <x:c r="A172" s="10" t="str">
        <x:v>REL-167</x:v>
      </x:c>
      <x:c r="B172" s="10" t="str">
        <x:v>SRC-084</x:v>
      </x:c>
      <x:c r="C172" s="10" t="str">
        <x:v>DOCUMENTS</x:v>
      </x:c>
      <x:c r="D172" s="10" t="str">
        <x:v>ACT-029</x:v>
      </x:c>
      <x:c r="E172" s="10" t="str">
        <x:v>SRC-084</x:v>
      </x:c>
      <x:c r="F172" s="10" t="str">
        <x:v>SYNTHETIQUE</x:v>
      </x:c>
    </x:row>
    <x:row r="173" ht="28" customHeight="1">
      <x:c r="A173" s="11" t="str">
        <x:v>REL-168</x:v>
      </x:c>
      <x:c r="B173" s="11" t="str">
        <x:v>SRC-084</x:v>
      </x:c>
      <x:c r="C173" s="11" t="str">
        <x:v>DOCUMENTS</x:v>
      </x:c>
      <x:c r="D173" s="11" t="str">
        <x:v>ACT-030</x:v>
      </x:c>
      <x:c r="E173" s="11" t="str">
        <x:v>SRC-084</x:v>
      </x:c>
      <x:c r="F173" s="11" t="str">
        <x:v>SYNTHETIQUE</x:v>
      </x:c>
    </x:row>
    <x:row r="174" ht="28" customHeight="1">
      <x:c r="A174" s="10" t="str">
        <x:v>REL-169</x:v>
      </x:c>
      <x:c r="B174" s="10" t="str">
        <x:v>SRC-085</x:v>
      </x:c>
      <x:c r="C174" s="10" t="str">
        <x:v>DOCUMENTS</x:v>
      </x:c>
      <x:c r="D174" s="10" t="str">
        <x:v>ACT-031</x:v>
      </x:c>
      <x:c r="E174" s="10" t="str">
        <x:v>SRC-085</x:v>
      </x:c>
      <x:c r="F174" s="10" t="str">
        <x:v>SYNTHETIQUE</x:v>
      </x:c>
    </x:row>
    <x:row r="175" ht="28" customHeight="1">
      <x:c r="A175" s="11" t="str">
        <x:v>REL-170</x:v>
      </x:c>
      <x:c r="B175" s="11" t="str">
        <x:v>SRC-085</x:v>
      </x:c>
      <x:c r="C175" s="11" t="str">
        <x:v>DOCUMENTS</x:v>
      </x:c>
      <x:c r="D175" s="11" t="str">
        <x:v>ACT-032</x:v>
      </x:c>
      <x:c r="E175" s="11" t="str">
        <x:v>SRC-085</x:v>
      </x:c>
      <x:c r="F175" s="11" t="str">
        <x:v>SYNTHETIQUE</x:v>
      </x:c>
    </x:row>
    <x:row r="176" ht="28" customHeight="1">
      <x:c r="A176" s="10" t="str">
        <x:v>REL-171</x:v>
      </x:c>
      <x:c r="B176" s="10" t="str">
        <x:v>SRC-086</x:v>
      </x:c>
      <x:c r="C176" s="10" t="str">
        <x:v>DOCUMENTS</x:v>
      </x:c>
      <x:c r="D176" s="10" t="str">
        <x:v>ACT-031</x:v>
      </x:c>
      <x:c r="E176" s="10" t="str">
        <x:v>SRC-086</x:v>
      </x:c>
      <x:c r="F176" s="10" t="str">
        <x:v>SYNTHETIQUE</x:v>
      </x:c>
    </x:row>
    <x:row r="177" ht="28" customHeight="1">
      <x:c r="A177" s="11" t="str">
        <x:v>REL-172</x:v>
      </x:c>
      <x:c r="B177" s="11" t="str">
        <x:v>SRC-086</x:v>
      </x:c>
      <x:c r="C177" s="11" t="str">
        <x:v>DOCUMENTS</x:v>
      </x:c>
      <x:c r="D177" s="11" t="str">
        <x:v>ACT-032</x:v>
      </x:c>
      <x:c r="E177" s="11" t="str">
        <x:v>SRC-086</x:v>
      </x:c>
      <x:c r="F177" s="11" t="str">
        <x:v>SYNTHETIQUE</x:v>
      </x:c>
    </x:row>
    <x:row r="178" ht="28" customHeight="1">
      <x:c r="A178" s="10" t="str">
        <x:v>REL-173</x:v>
      </x:c>
      <x:c r="B178" s="10" t="str">
        <x:v>SRC-087</x:v>
      </x:c>
      <x:c r="C178" s="10" t="str">
        <x:v>DOCUMENTS</x:v>
      </x:c>
      <x:c r="D178" s="10" t="str">
        <x:v>ACT-031</x:v>
      </x:c>
      <x:c r="E178" s="10" t="str">
        <x:v>SRC-087</x:v>
      </x:c>
      <x:c r="F178" s="10" t="str">
        <x:v>SYNTHETIQUE</x:v>
      </x:c>
    </x:row>
    <x:row r="179" ht="28" customHeight="1">
      <x:c r="A179" s="11" t="str">
        <x:v>REL-174</x:v>
      </x:c>
      <x:c r="B179" s="11" t="str">
        <x:v>SRC-087</x:v>
      </x:c>
      <x:c r="C179" s="11" t="str">
        <x:v>DOCUMENTS</x:v>
      </x:c>
      <x:c r="D179" s="11" t="str">
        <x:v>ACT-032</x:v>
      </x:c>
      <x:c r="E179" s="11" t="str">
        <x:v>SRC-087</x:v>
      </x:c>
      <x:c r="F179" s="11" t="str">
        <x:v>SYNTHETIQUE</x:v>
      </x:c>
    </x:row>
    <x:row r="180" ht="28" customHeight="1">
      <x:c r="A180" s="10" t="str">
        <x:v>REL-175</x:v>
      </x:c>
      <x:c r="B180" s="10" t="str">
        <x:v>SRC-088</x:v>
      </x:c>
      <x:c r="C180" s="10" t="str">
        <x:v>DOCUMENTS</x:v>
      </x:c>
      <x:c r="D180" s="10" t="str">
        <x:v>ACT-031</x:v>
      </x:c>
      <x:c r="E180" s="10" t="str">
        <x:v>SRC-088</x:v>
      </x:c>
      <x:c r="F180" s="10" t="str">
        <x:v>SYNTHETIQUE</x:v>
      </x:c>
    </x:row>
    <x:row r="181" ht="28" customHeight="1">
      <x:c r="A181" s="11" t="str">
        <x:v>REL-176</x:v>
      </x:c>
      <x:c r="B181" s="11" t="str">
        <x:v>SRC-088</x:v>
      </x:c>
      <x:c r="C181" s="11" t="str">
        <x:v>DOCUMENTS</x:v>
      </x:c>
      <x:c r="D181" s="11" t="str">
        <x:v>ACT-032</x:v>
      </x:c>
      <x:c r="E181" s="11" t="str">
        <x:v>SRC-088</x:v>
      </x:c>
      <x:c r="F181" s="11" t="str">
        <x:v>SYNTHETIQUE</x:v>
      </x:c>
    </x:row>
    <x:row r="182" ht="28" customHeight="1">
      <x:c r="A182" s="10" t="str">
        <x:v>REL-177</x:v>
      </x:c>
      <x:c r="B182" s="10" t="str">
        <x:v>SRC-089</x:v>
      </x:c>
      <x:c r="C182" s="10" t="str">
        <x:v>DOCUMENTS</x:v>
      </x:c>
      <x:c r="D182" s="10" t="str">
        <x:v>ACT-031</x:v>
      </x:c>
      <x:c r="E182" s="10" t="str">
        <x:v>SRC-089</x:v>
      </x:c>
      <x:c r="F182" s="10" t="str">
        <x:v>SYNTHETIQUE</x:v>
      </x:c>
    </x:row>
    <x:row r="183" ht="28" customHeight="1">
      <x:c r="A183" s="11" t="str">
        <x:v>REL-178</x:v>
      </x:c>
      <x:c r="B183" s="11" t="str">
        <x:v>SRC-089</x:v>
      </x:c>
      <x:c r="C183" s="11" t="str">
        <x:v>DOCUMENTS</x:v>
      </x:c>
      <x:c r="D183" s="11" t="str">
        <x:v>ACT-032</x:v>
      </x:c>
      <x:c r="E183" s="11" t="str">
        <x:v>SRC-089</x:v>
      </x:c>
      <x:c r="F183" s="11" t="str">
        <x:v>SYNTHETIQUE</x:v>
      </x:c>
    </x:row>
    <x:row r="184" ht="28" customHeight="1">
      <x:c r="A184" s="10" t="str">
        <x:v>REL-179</x:v>
      </x:c>
      <x:c r="B184" s="10" t="str">
        <x:v>SRC-090</x:v>
      </x:c>
      <x:c r="C184" s="10" t="str">
        <x:v>DOCUMENTS</x:v>
      </x:c>
      <x:c r="D184" s="10" t="str">
        <x:v>ACT-031</x:v>
      </x:c>
      <x:c r="E184" s="10" t="str">
        <x:v>SRC-090</x:v>
      </x:c>
      <x:c r="F184" s="10" t="str">
        <x:v>SYNTHETIQUE</x:v>
      </x:c>
    </x:row>
    <x:row r="185" ht="28" customHeight="1">
      <x:c r="A185" s="11" t="str">
        <x:v>REL-180</x:v>
      </x:c>
      <x:c r="B185" s="11" t="str">
        <x:v>SRC-090</x:v>
      </x:c>
      <x:c r="C185" s="11" t="str">
        <x:v>DOCUMENTS</x:v>
      </x:c>
      <x:c r="D185" s="11" t="str">
        <x:v>ACT-032</x:v>
      </x:c>
      <x:c r="E185" s="11" t="str">
        <x:v>SRC-090</x:v>
      </x:c>
      <x:c r="F185" s="11" t="str">
        <x:v>SYNTHETIQUE</x:v>
      </x:c>
    </x:row>
    <x:row r="186" ht="28" customHeight="1">
      <x:c r="A186" s="10" t="str">
        <x:v>REL-181</x:v>
      </x:c>
      <x:c r="B186" s="10" t="str">
        <x:v>SRC-091</x:v>
      </x:c>
      <x:c r="C186" s="10" t="str">
        <x:v>DOCUMENTS</x:v>
      </x:c>
      <x:c r="D186" s="10" t="str">
        <x:v>ACT-031</x:v>
      </x:c>
      <x:c r="E186" s="10" t="str">
        <x:v>SRC-091</x:v>
      </x:c>
      <x:c r="F186" s="10" t="str">
        <x:v>SYNTHETIQUE</x:v>
      </x:c>
    </x:row>
    <x:row r="187" ht="28" customHeight="1">
      <x:c r="A187" s="11" t="str">
        <x:v>REL-182</x:v>
      </x:c>
      <x:c r="B187" s="11" t="str">
        <x:v>SRC-091</x:v>
      </x:c>
      <x:c r="C187" s="11" t="str">
        <x:v>DOCUMENTS</x:v>
      </x:c>
      <x:c r="D187" s="11" t="str">
        <x:v>ACT-032</x:v>
      </x:c>
      <x:c r="E187" s="11" t="str">
        <x:v>SRC-091</x:v>
      </x:c>
      <x:c r="F187" s="11" t="str">
        <x:v>SYNTHETIQUE</x:v>
      </x:c>
    </x:row>
    <x:row r="188" ht="28" customHeight="1">
      <x:c r="A188" s="10" t="str">
        <x:v>REL-183</x:v>
      </x:c>
      <x:c r="B188" s="10" t="str">
        <x:v>SRC-092</x:v>
      </x:c>
      <x:c r="C188" s="10" t="str">
        <x:v>DOCUMENTS</x:v>
      </x:c>
      <x:c r="D188" s="10" t="str">
        <x:v>ACT-033</x:v>
      </x:c>
      <x:c r="E188" s="10" t="str">
        <x:v>SRC-092</x:v>
      </x:c>
      <x:c r="F188" s="10" t="str">
        <x:v>SYNTHETIQUE</x:v>
      </x:c>
    </x:row>
    <x:row r="189" ht="28" customHeight="1">
      <x:c r="A189" s="11" t="str">
        <x:v>REL-184</x:v>
      </x:c>
      <x:c r="B189" s="11" t="str">
        <x:v>SRC-092</x:v>
      </x:c>
      <x:c r="C189" s="11" t="str">
        <x:v>DOCUMENTS</x:v>
      </x:c>
      <x:c r="D189" s="11" t="str">
        <x:v>ACT-034</x:v>
      </x:c>
      <x:c r="E189" s="11" t="str">
        <x:v>SRC-092</x:v>
      </x:c>
      <x:c r="F189" s="11" t="str">
        <x:v>SYNTHETIQUE</x:v>
      </x:c>
    </x:row>
    <x:row r="190" ht="28" customHeight="1">
      <x:c r="A190" s="10" t="str">
        <x:v>REL-185</x:v>
      </x:c>
      <x:c r="B190" s="10" t="str">
        <x:v>SRC-093</x:v>
      </x:c>
      <x:c r="C190" s="10" t="str">
        <x:v>DOCUMENTS</x:v>
      </x:c>
      <x:c r="D190" s="10" t="str">
        <x:v>ACT-033</x:v>
      </x:c>
      <x:c r="E190" s="10" t="str">
        <x:v>SRC-093</x:v>
      </x:c>
      <x:c r="F190" s="10" t="str">
        <x:v>SYNTHETIQUE</x:v>
      </x:c>
    </x:row>
    <x:row r="191" ht="28" customHeight="1">
      <x:c r="A191" s="11" t="str">
        <x:v>REL-186</x:v>
      </x:c>
      <x:c r="B191" s="11" t="str">
        <x:v>SRC-093</x:v>
      </x:c>
      <x:c r="C191" s="11" t="str">
        <x:v>DOCUMENTS</x:v>
      </x:c>
      <x:c r="D191" s="11" t="str">
        <x:v>ACT-034</x:v>
      </x:c>
      <x:c r="E191" s="11" t="str">
        <x:v>SRC-093</x:v>
      </x:c>
      <x:c r="F191" s="11" t="str">
        <x:v>SYNTHETIQUE</x:v>
      </x:c>
    </x:row>
    <x:row r="192" ht="28" customHeight="1">
      <x:c r="A192" s="10" t="str">
        <x:v>REL-187</x:v>
      </x:c>
      <x:c r="B192" s="10" t="str">
        <x:v>SRC-094</x:v>
      </x:c>
      <x:c r="C192" s="10" t="str">
        <x:v>DOCUMENTS</x:v>
      </x:c>
      <x:c r="D192" s="10" t="str">
        <x:v>ACT-033</x:v>
      </x:c>
      <x:c r="E192" s="10" t="str">
        <x:v>SRC-094</x:v>
      </x:c>
      <x:c r="F192" s="10" t="str">
        <x:v>SYNTHETIQUE</x:v>
      </x:c>
    </x:row>
    <x:row r="193" ht="28" customHeight="1">
      <x:c r="A193" s="11" t="str">
        <x:v>REL-188</x:v>
      </x:c>
      <x:c r="B193" s="11" t="str">
        <x:v>SRC-094</x:v>
      </x:c>
      <x:c r="C193" s="11" t="str">
        <x:v>DOCUMENTS</x:v>
      </x:c>
      <x:c r="D193" s="11" t="str">
        <x:v>ACT-034</x:v>
      </x:c>
      <x:c r="E193" s="11" t="str">
        <x:v>SRC-094</x:v>
      </x:c>
      <x:c r="F193" s="11" t="str">
        <x:v>SYNTHETIQUE</x:v>
      </x:c>
    </x:row>
    <x:row r="194" ht="28" customHeight="1">
      <x:c r="A194" s="10" t="str">
        <x:v>REL-189</x:v>
      </x:c>
      <x:c r="B194" s="10" t="str">
        <x:v>SRC-095</x:v>
      </x:c>
      <x:c r="C194" s="10" t="str">
        <x:v>DOCUMENTS</x:v>
      </x:c>
      <x:c r="D194" s="10" t="str">
        <x:v>ACT-033</x:v>
      </x:c>
      <x:c r="E194" s="10" t="str">
        <x:v>SRC-095</x:v>
      </x:c>
      <x:c r="F194" s="10" t="str">
        <x:v>SYNTHETIQUE</x:v>
      </x:c>
    </x:row>
    <x:row r="195" ht="28" customHeight="1">
      <x:c r="A195" s="11" t="str">
        <x:v>REL-190</x:v>
      </x:c>
      <x:c r="B195" s="11" t="str">
        <x:v>SRC-095</x:v>
      </x:c>
      <x:c r="C195" s="11" t="str">
        <x:v>DOCUMENTS</x:v>
      </x:c>
      <x:c r="D195" s="11" t="str">
        <x:v>ACT-034</x:v>
      </x:c>
      <x:c r="E195" s="11" t="str">
        <x:v>SRC-095</x:v>
      </x:c>
      <x:c r="F195" s="11" t="str">
        <x:v>SYNTHETIQUE</x:v>
      </x:c>
    </x:row>
    <x:row r="196" ht="28" customHeight="1">
      <x:c r="A196" s="10" t="str">
        <x:v>REL-191</x:v>
      </x:c>
      <x:c r="B196" s="10" t="str">
        <x:v>SRC-096</x:v>
      </x:c>
      <x:c r="C196" s="10" t="str">
        <x:v>DOCUMENTS</x:v>
      </x:c>
      <x:c r="D196" s="10" t="str">
        <x:v>ACT-033</x:v>
      </x:c>
      <x:c r="E196" s="10" t="str">
        <x:v>SRC-096</x:v>
      </x:c>
      <x:c r="F196" s="10" t="str">
        <x:v>SYNTHETIQUE</x:v>
      </x:c>
    </x:row>
    <x:row r="197" ht="28" customHeight="1">
      <x:c r="A197" s="11" t="str">
        <x:v>REL-192</x:v>
      </x:c>
      <x:c r="B197" s="11" t="str">
        <x:v>SRC-096</x:v>
      </x:c>
      <x:c r="C197" s="11" t="str">
        <x:v>DOCUMENTS</x:v>
      </x:c>
      <x:c r="D197" s="11" t="str">
        <x:v>ACT-034</x:v>
      </x:c>
      <x:c r="E197" s="11" t="str">
        <x:v>SRC-096</x:v>
      </x:c>
      <x:c r="F197" s="11" t="str">
        <x:v>SYNTHETIQUE</x:v>
      </x:c>
    </x:row>
    <x:row r="198" ht="28" customHeight="1">
      <x:c r="A198" s="10" t="str">
        <x:v>REL-193</x:v>
      </x:c>
      <x:c r="B198" s="10" t="str">
        <x:v>SRC-097</x:v>
      </x:c>
      <x:c r="C198" s="10" t="str">
        <x:v>DOCUMENTS</x:v>
      </x:c>
      <x:c r="D198" s="10" t="str">
        <x:v>ACT-033</x:v>
      </x:c>
      <x:c r="E198" s="10" t="str">
        <x:v>SRC-097</x:v>
      </x:c>
      <x:c r="F198" s="10" t="str">
        <x:v>SYNTHETIQUE</x:v>
      </x:c>
    </x:row>
    <x:row r="199" ht="28" customHeight="1">
      <x:c r="A199" s="11" t="str">
        <x:v>REL-194</x:v>
      </x:c>
      <x:c r="B199" s="11" t="str">
        <x:v>SRC-097</x:v>
      </x:c>
      <x:c r="C199" s="11" t="str">
        <x:v>DOCUMENTS</x:v>
      </x:c>
      <x:c r="D199" s="11" t="str">
        <x:v>ACT-034</x:v>
      </x:c>
      <x:c r="E199" s="11" t="str">
        <x:v>SRC-097</x:v>
      </x:c>
      <x:c r="F199" s="11" t="str">
        <x:v>SYNTHETIQUE</x:v>
      </x:c>
    </x:row>
    <x:row r="200" ht="28" customHeight="1">
      <x:c r="A200" s="10" t="str">
        <x:v>REL-195</x:v>
      </x:c>
      <x:c r="B200" s="10" t="str">
        <x:v>SRC-098</x:v>
      </x:c>
      <x:c r="C200" s="10" t="str">
        <x:v>DOCUMENTS</x:v>
      </x:c>
      <x:c r="D200" s="10" t="str">
        <x:v>ACT-035</x:v>
      </x:c>
      <x:c r="E200" s="10" t="str">
        <x:v>SRC-098</x:v>
      </x:c>
      <x:c r="F200" s="10" t="str">
        <x:v>SYNTHETIQUE</x:v>
      </x:c>
    </x:row>
    <x:row r="201" ht="28" customHeight="1">
      <x:c r="A201" s="11" t="str">
        <x:v>REL-196</x:v>
      </x:c>
      <x:c r="B201" s="11" t="str">
        <x:v>SRC-098</x:v>
      </x:c>
      <x:c r="C201" s="11" t="str">
        <x:v>DOCUMENTS</x:v>
      </x:c>
      <x:c r="D201" s="11" t="str">
        <x:v>ACT-036</x:v>
      </x:c>
      <x:c r="E201" s="11" t="str">
        <x:v>SRC-098</x:v>
      </x:c>
      <x:c r="F201" s="11" t="str">
        <x:v>SYNTHETIQUE</x:v>
      </x:c>
    </x:row>
    <x:row r="202" ht="28" customHeight="1">
      <x:c r="A202" s="10" t="str">
        <x:v>REL-197</x:v>
      </x:c>
      <x:c r="B202" s="10" t="str">
        <x:v>SRC-099</x:v>
      </x:c>
      <x:c r="C202" s="10" t="str">
        <x:v>DOCUMENTS</x:v>
      </x:c>
      <x:c r="D202" s="10" t="str">
        <x:v>ACT-035</x:v>
      </x:c>
      <x:c r="E202" s="10" t="str">
        <x:v>SRC-099</x:v>
      </x:c>
      <x:c r="F202" s="10" t="str">
        <x:v>SYNTHETIQUE</x:v>
      </x:c>
    </x:row>
    <x:row r="203" ht="28" customHeight="1">
      <x:c r="A203" s="11" t="str">
        <x:v>REL-198</x:v>
      </x:c>
      <x:c r="B203" s="11" t="str">
        <x:v>SRC-099</x:v>
      </x:c>
      <x:c r="C203" s="11" t="str">
        <x:v>DOCUMENTS</x:v>
      </x:c>
      <x:c r="D203" s="11" t="str">
        <x:v>ACT-036</x:v>
      </x:c>
      <x:c r="E203" s="11" t="str">
        <x:v>SRC-099</x:v>
      </x:c>
      <x:c r="F203" s="11" t="str">
        <x:v>SYNTHETIQUE</x:v>
      </x:c>
    </x:row>
    <x:row r="204" ht="28" customHeight="1">
      <x:c r="A204" s="10" t="str">
        <x:v>REL-199</x:v>
      </x:c>
      <x:c r="B204" s="10" t="str">
        <x:v>SRC-100</x:v>
      </x:c>
      <x:c r="C204" s="10" t="str">
        <x:v>DOCUMENTS</x:v>
      </x:c>
      <x:c r="D204" s="10" t="str">
        <x:v>ACT-035</x:v>
      </x:c>
      <x:c r="E204" s="10" t="str">
        <x:v>SRC-100</x:v>
      </x:c>
      <x:c r="F204" s="10" t="str">
        <x:v>SYNTHETIQUE</x:v>
      </x:c>
    </x:row>
    <x:row r="205" ht="28" customHeight="1">
      <x:c r="A205" s="11" t="str">
        <x:v>REL-200</x:v>
      </x:c>
      <x:c r="B205" s="11" t="str">
        <x:v>SRC-100</x:v>
      </x:c>
      <x:c r="C205" s="11" t="str">
        <x:v>DOCUMENTS</x:v>
      </x:c>
      <x:c r="D205" s="11" t="str">
        <x:v>ACT-036</x:v>
      </x:c>
      <x:c r="E205" s="11" t="str">
        <x:v>SRC-100</x:v>
      </x:c>
      <x:c r="F205" s="11" t="str">
        <x:v>SYNTHETIQUE</x:v>
      </x:c>
    </x:row>
    <x:row r="206" ht="28" customHeight="1">
      <x:c r="A206" s="10" t="str">
        <x:v>REL-201</x:v>
      </x:c>
      <x:c r="B206" s="10" t="str">
        <x:v>SRC-101</x:v>
      </x:c>
      <x:c r="C206" s="10" t="str">
        <x:v>DOCUMENTS</x:v>
      </x:c>
      <x:c r="D206" s="10" t="str">
        <x:v>ACT-035</x:v>
      </x:c>
      <x:c r="E206" s="10" t="str">
        <x:v>SRC-101</x:v>
      </x:c>
      <x:c r="F206" s="10" t="str">
        <x:v>SYNTHETIQUE</x:v>
      </x:c>
    </x:row>
    <x:row r="207" ht="28" customHeight="1">
      <x:c r="A207" s="11" t="str">
        <x:v>REL-202</x:v>
      </x:c>
      <x:c r="B207" s="11" t="str">
        <x:v>SRC-101</x:v>
      </x:c>
      <x:c r="C207" s="11" t="str">
        <x:v>DOCUMENTS</x:v>
      </x:c>
      <x:c r="D207" s="11" t="str">
        <x:v>ACT-036</x:v>
      </x:c>
      <x:c r="E207" s="11" t="str">
        <x:v>SRC-101</x:v>
      </x:c>
      <x:c r="F207" s="11" t="str">
        <x:v>SYNTHETIQUE</x:v>
      </x:c>
    </x:row>
    <x:row r="208" ht="28" customHeight="1">
      <x:c r="A208" s="10" t="str">
        <x:v>REL-203</x:v>
      </x:c>
      <x:c r="B208" s="10" t="str">
        <x:v>SRC-102</x:v>
      </x:c>
      <x:c r="C208" s="10" t="str">
        <x:v>DOCUMENTS</x:v>
      </x:c>
      <x:c r="D208" s="10" t="str">
        <x:v>ACT-035</x:v>
      </x:c>
      <x:c r="E208" s="10" t="str">
        <x:v>SRC-102</x:v>
      </x:c>
      <x:c r="F208" s="10" t="str">
        <x:v>SYNTHETIQUE</x:v>
      </x:c>
    </x:row>
    <x:row r="209" ht="28" customHeight="1">
      <x:c r="A209" s="11" t="str">
        <x:v>REL-204</x:v>
      </x:c>
      <x:c r="B209" s="11" t="str">
        <x:v>SRC-102</x:v>
      </x:c>
      <x:c r="C209" s="11" t="str">
        <x:v>DOCUMENTS</x:v>
      </x:c>
      <x:c r="D209" s="11" t="str">
        <x:v>ACT-036</x:v>
      </x:c>
      <x:c r="E209" s="11" t="str">
        <x:v>SRC-102</x:v>
      </x:c>
      <x:c r="F209" s="11" t="str">
        <x:v>SYNTHETIQUE</x:v>
      </x:c>
    </x:row>
    <x:row r="210" ht="28" customHeight="1">
      <x:c r="A210" s="10" t="str">
        <x:v>REL-205</x:v>
      </x:c>
      <x:c r="B210" s="10" t="str">
        <x:v>SRC-103</x:v>
      </x:c>
      <x:c r="C210" s="10" t="str">
        <x:v>DOCUMENTS</x:v>
      </x:c>
      <x:c r="D210" s="10" t="str">
        <x:v>ACT-035</x:v>
      </x:c>
      <x:c r="E210" s="10" t="str">
        <x:v>SRC-103</x:v>
      </x:c>
      <x:c r="F210" s="10" t="str">
        <x:v>SYNTHETIQUE</x:v>
      </x:c>
    </x:row>
    <x:row r="211" ht="28" customHeight="1">
      <x:c r="A211" s="11" t="str">
        <x:v>REL-206</x:v>
      </x:c>
      <x:c r="B211" s="11" t="str">
        <x:v>SRC-103</x:v>
      </x:c>
      <x:c r="C211" s="11" t="str">
        <x:v>DOCUMENTS</x:v>
      </x:c>
      <x:c r="D211" s="11" t="str">
        <x:v>ACT-036</x:v>
      </x:c>
      <x:c r="E211" s="11" t="str">
        <x:v>SRC-103</x:v>
      </x:c>
      <x:c r="F211" s="11" t="str">
        <x:v>SYNTHETIQUE</x:v>
      </x:c>
    </x:row>
    <x:row r="212" ht="28" customHeight="1">
      <x:c r="A212" s="10" t="str">
        <x:v>REL-207</x:v>
      </x:c>
      <x:c r="B212" s="10" t="str">
        <x:v>SRC-104</x:v>
      </x:c>
      <x:c r="C212" s="10" t="str">
        <x:v>DOCUMENTS</x:v>
      </x:c>
      <x:c r="D212" s="10" t="str">
        <x:v>ACT-035</x:v>
      </x:c>
      <x:c r="E212" s="10" t="str">
        <x:v>SRC-104</x:v>
      </x:c>
      <x:c r="F212" s="10" t="str">
        <x:v>SYNTHETIQUE</x:v>
      </x:c>
    </x:row>
    <x:row r="213" ht="28" customHeight="1">
      <x:c r="A213" s="11" t="str">
        <x:v>REL-208</x:v>
      </x:c>
      <x:c r="B213" s="11" t="str">
        <x:v>SRC-104</x:v>
      </x:c>
      <x:c r="C213" s="11" t="str">
        <x:v>DOCUMENTS</x:v>
      </x:c>
      <x:c r="D213" s="11" t="str">
        <x:v>ACT-036</x:v>
      </x:c>
      <x:c r="E213" s="11" t="str">
        <x:v>SRC-104</x:v>
      </x:c>
      <x:c r="F213" s="11" t="str">
        <x:v>SYNTHETIQUE</x:v>
      </x:c>
    </x:row>
    <x:row r="214" ht="28" customHeight="1">
      <x:c r="A214" s="10" t="str">
        <x:v>REL-209</x:v>
      </x:c>
      <x:c r="B214" s="10" t="str">
        <x:v>SRC-105</x:v>
      </x:c>
      <x:c r="C214" s="10" t="str">
        <x:v>DOCUMENTS</x:v>
      </x:c>
      <x:c r="D214" s="10" t="str">
        <x:v>ACT-035</x:v>
      </x:c>
      <x:c r="E214" s="10" t="str">
        <x:v>SRC-105</x:v>
      </x:c>
      <x:c r="F214" s="10" t="str">
        <x:v>SYNTHETIQUE</x:v>
      </x:c>
    </x:row>
    <x:row r="215" ht="28" customHeight="1">
      <x:c r="A215" s="11" t="str">
        <x:v>REL-210</x:v>
      </x:c>
      <x:c r="B215" s="11" t="str">
        <x:v>SRC-105</x:v>
      </x:c>
      <x:c r="C215" s="11" t="str">
        <x:v>DOCUMENTS</x:v>
      </x:c>
      <x:c r="D215" s="11" t="str">
        <x:v>ACT-036</x:v>
      </x:c>
      <x:c r="E215" s="11" t="str">
        <x:v>SRC-105</x:v>
      </x:c>
      <x:c r="F215" s="11" t="str">
        <x:v>SYNTHETIQUE</x:v>
      </x:c>
    </x:row>
    <x:row r="216" ht="28" customHeight="1">
      <x:c r="A216" s="10" t="str">
        <x:v>REL-211</x:v>
      </x:c>
      <x:c r="B216" s="10" t="str">
        <x:v>SRC-106</x:v>
      </x:c>
      <x:c r="C216" s="10" t="str">
        <x:v>DOCUMENTS</x:v>
      </x:c>
      <x:c r="D216" s="10" t="str">
        <x:v>ACT-037</x:v>
      </x:c>
      <x:c r="E216" s="10" t="str">
        <x:v>SRC-106</x:v>
      </x:c>
      <x:c r="F216" s="10" t="str">
        <x:v>SYNTHETIQUE</x:v>
      </x:c>
    </x:row>
    <x:row r="217" ht="28" customHeight="1">
      <x:c r="A217" s="11" t="str">
        <x:v>REL-212</x:v>
      </x:c>
      <x:c r="B217" s="11" t="str">
        <x:v>SRC-106</x:v>
      </x:c>
      <x:c r="C217" s="11" t="str">
        <x:v>DOCUMENTS</x:v>
      </x:c>
      <x:c r="D217" s="11" t="str">
        <x:v>ACT-038</x:v>
      </x:c>
      <x:c r="E217" s="11" t="str">
        <x:v>SRC-106</x:v>
      </x:c>
      <x:c r="F217" s="11" t="str">
        <x:v>SYNTHETIQUE</x:v>
      </x:c>
    </x:row>
    <x:row r="218" ht="28" customHeight="1">
      <x:c r="A218" s="10" t="str">
        <x:v>REL-213</x:v>
      </x:c>
      <x:c r="B218" s="10" t="str">
        <x:v>SRC-107</x:v>
      </x:c>
      <x:c r="C218" s="10" t="str">
        <x:v>DOCUMENTS</x:v>
      </x:c>
      <x:c r="D218" s="10" t="str">
        <x:v>ACT-037</x:v>
      </x:c>
      <x:c r="E218" s="10" t="str">
        <x:v>SRC-107</x:v>
      </x:c>
      <x:c r="F218" s="10" t="str">
        <x:v>SYNTHETIQUE</x:v>
      </x:c>
    </x:row>
    <x:row r="219" ht="28" customHeight="1">
      <x:c r="A219" s="11" t="str">
        <x:v>REL-214</x:v>
      </x:c>
      <x:c r="B219" s="11" t="str">
        <x:v>SRC-107</x:v>
      </x:c>
      <x:c r="C219" s="11" t="str">
        <x:v>DOCUMENTS</x:v>
      </x:c>
      <x:c r="D219" s="11" t="str">
        <x:v>ACT-038</x:v>
      </x:c>
      <x:c r="E219" s="11" t="str">
        <x:v>SRC-107</x:v>
      </x:c>
      <x:c r="F219" s="11" t="str">
        <x:v>SYNTHETIQUE</x:v>
      </x:c>
    </x:row>
    <x:row r="220" ht="28" customHeight="1">
      <x:c r="A220" s="10" t="str">
        <x:v>REL-215</x:v>
      </x:c>
      <x:c r="B220" s="10" t="str">
        <x:v>SRC-108</x:v>
      </x:c>
      <x:c r="C220" s="10" t="str">
        <x:v>DOCUMENTS</x:v>
      </x:c>
      <x:c r="D220" s="10" t="str">
        <x:v>ACT-037</x:v>
      </x:c>
      <x:c r="E220" s="10" t="str">
        <x:v>SRC-108</x:v>
      </x:c>
      <x:c r="F220" s="10" t="str">
        <x:v>SYNTHETIQUE</x:v>
      </x:c>
    </x:row>
    <x:row r="221" ht="28" customHeight="1">
      <x:c r="A221" s="11" t="str">
        <x:v>REL-216</x:v>
      </x:c>
      <x:c r="B221" s="11" t="str">
        <x:v>SRC-108</x:v>
      </x:c>
      <x:c r="C221" s="11" t="str">
        <x:v>DOCUMENTS</x:v>
      </x:c>
      <x:c r="D221" s="11" t="str">
        <x:v>ACT-038</x:v>
      </x:c>
      <x:c r="E221" s="11" t="str">
        <x:v>SRC-108</x:v>
      </x:c>
      <x:c r="F221" s="11" t="str">
        <x:v>SYNTHETIQUE</x:v>
      </x:c>
    </x:row>
    <x:row r="222" ht="28" customHeight="1">
      <x:c r="A222" s="10" t="str">
        <x:v>REL-217</x:v>
      </x:c>
      <x:c r="B222" s="10" t="str">
        <x:v>SRC-109</x:v>
      </x:c>
      <x:c r="C222" s="10" t="str">
        <x:v>DOCUMENTS</x:v>
      </x:c>
      <x:c r="D222" s="10" t="str">
        <x:v>ACT-037</x:v>
      </x:c>
      <x:c r="E222" s="10" t="str">
        <x:v>SRC-109</x:v>
      </x:c>
      <x:c r="F222" s="10" t="str">
        <x:v>SYNTHETIQUE</x:v>
      </x:c>
    </x:row>
    <x:row r="223" ht="28" customHeight="1">
      <x:c r="A223" s="11" t="str">
        <x:v>REL-218</x:v>
      </x:c>
      <x:c r="B223" s="11" t="str">
        <x:v>SRC-109</x:v>
      </x:c>
      <x:c r="C223" s="11" t="str">
        <x:v>DOCUMENTS</x:v>
      </x:c>
      <x:c r="D223" s="11" t="str">
        <x:v>ACT-038</x:v>
      </x:c>
      <x:c r="E223" s="11" t="str">
        <x:v>SRC-109</x:v>
      </x:c>
      <x:c r="F223" s="11" t="str">
        <x:v>SYNTHETIQUE</x:v>
      </x:c>
    </x:row>
    <x:row r="224" ht="28" customHeight="1">
      <x:c r="A224" s="10" t="str">
        <x:v>REL-219</x:v>
      </x:c>
      <x:c r="B224" s="10" t="str">
        <x:v>SRC-110</x:v>
      </x:c>
      <x:c r="C224" s="10" t="str">
        <x:v>DOCUMENTS</x:v>
      </x:c>
      <x:c r="D224" s="10" t="str">
        <x:v>ACT-037</x:v>
      </x:c>
      <x:c r="E224" s="10" t="str">
        <x:v>SRC-110</x:v>
      </x:c>
      <x:c r="F224" s="10" t="str">
        <x:v>SYNTHETIQUE</x:v>
      </x:c>
    </x:row>
    <x:row r="225" ht="28" customHeight="1">
      <x:c r="A225" s="11" t="str">
        <x:v>REL-220</x:v>
      </x:c>
      <x:c r="B225" s="11" t="str">
        <x:v>SRC-110</x:v>
      </x:c>
      <x:c r="C225" s="11" t="str">
        <x:v>DOCUMENTS</x:v>
      </x:c>
      <x:c r="D225" s="11" t="str">
        <x:v>ACT-038</x:v>
      </x:c>
      <x:c r="E225" s="11" t="str">
        <x:v>SRC-110</x:v>
      </x:c>
      <x:c r="F225" s="11" t="str">
        <x:v>SYNTHETIQUE</x:v>
      </x:c>
    </x:row>
    <x:row r="226" ht="28" customHeight="1">
      <x:c r="A226" s="10" t="str">
        <x:v>REL-221</x:v>
      </x:c>
      <x:c r="B226" s="10" t="str">
        <x:v>SRC-111</x:v>
      </x:c>
      <x:c r="C226" s="10" t="str">
        <x:v>DOCUMENTS</x:v>
      </x:c>
      <x:c r="D226" s="10" t="str">
        <x:v>ACT-037</x:v>
      </x:c>
      <x:c r="E226" s="10" t="str">
        <x:v>SRC-111</x:v>
      </x:c>
      <x:c r="F226" s="10" t="str">
        <x:v>SYNTHETIQUE</x:v>
      </x:c>
    </x:row>
    <x:row r="227" ht="28" customHeight="1">
      <x:c r="A227" s="11" t="str">
        <x:v>REL-222</x:v>
      </x:c>
      <x:c r="B227" s="11" t="str">
        <x:v>SRC-111</x:v>
      </x:c>
      <x:c r="C227" s="11" t="str">
        <x:v>DOCUMENTS</x:v>
      </x:c>
      <x:c r="D227" s="11" t="str">
        <x:v>ACT-038</x:v>
      </x:c>
      <x:c r="E227" s="11" t="str">
        <x:v>SRC-111</x:v>
      </x:c>
      <x:c r="F227" s="11" t="str">
        <x:v>SYNTHETIQUE</x:v>
      </x:c>
    </x:row>
    <x:row r="228" ht="28" customHeight="1">
      <x:c r="A228" s="10" t="str">
        <x:v>REL-223</x:v>
      </x:c>
      <x:c r="B228" s="10" t="str">
        <x:v>SRC-112</x:v>
      </x:c>
      <x:c r="C228" s="10" t="str">
        <x:v>DOCUMENTS</x:v>
      </x:c>
      <x:c r="D228" s="10" t="str">
        <x:v>ACT-039</x:v>
      </x:c>
      <x:c r="E228" s="10" t="str">
        <x:v>SRC-112</x:v>
      </x:c>
      <x:c r="F228" s="10" t="str">
        <x:v>SYNTHETIQUE</x:v>
      </x:c>
    </x:row>
    <x:row r="229" ht="28" customHeight="1">
      <x:c r="A229" s="11" t="str">
        <x:v>REL-224</x:v>
      </x:c>
      <x:c r="B229" s="11" t="str">
        <x:v>SRC-112</x:v>
      </x:c>
      <x:c r="C229" s="11" t="str">
        <x:v>DOCUMENTS</x:v>
      </x:c>
      <x:c r="D229" s="11" t="str">
        <x:v>ACT-040</x:v>
      </x:c>
      <x:c r="E229" s="11" t="str">
        <x:v>SRC-112</x:v>
      </x:c>
      <x:c r="F229" s="11" t="str">
        <x:v>SYNTHETIQUE</x:v>
      </x:c>
    </x:row>
    <x:row r="230" ht="28" customHeight="1">
      <x:c r="A230" s="10" t="str">
        <x:v>REL-225</x:v>
      </x:c>
      <x:c r="B230" s="10" t="str">
        <x:v>SRC-113</x:v>
      </x:c>
      <x:c r="C230" s="10" t="str">
        <x:v>DOCUMENTS</x:v>
      </x:c>
      <x:c r="D230" s="10" t="str">
        <x:v>ACT-039</x:v>
      </x:c>
      <x:c r="E230" s="10" t="str">
        <x:v>SRC-113</x:v>
      </x:c>
      <x:c r="F230" s="10" t="str">
        <x:v>SYNTHETIQUE</x:v>
      </x:c>
    </x:row>
    <x:row r="231" ht="28" customHeight="1">
      <x:c r="A231" s="11" t="str">
        <x:v>REL-226</x:v>
      </x:c>
      <x:c r="B231" s="11" t="str">
        <x:v>SRC-113</x:v>
      </x:c>
      <x:c r="C231" s="11" t="str">
        <x:v>DOCUMENTS</x:v>
      </x:c>
      <x:c r="D231" s="11" t="str">
        <x:v>ACT-040</x:v>
      </x:c>
      <x:c r="E231" s="11" t="str">
        <x:v>SRC-113</x:v>
      </x:c>
      <x:c r="F231" s="11" t="str">
        <x:v>SYNTHETIQUE</x:v>
      </x:c>
    </x:row>
    <x:row r="232" ht="28" customHeight="1">
      <x:c r="A232" s="10" t="str">
        <x:v>REL-227</x:v>
      </x:c>
      <x:c r="B232" s="10" t="str">
        <x:v>SRC-114</x:v>
      </x:c>
      <x:c r="C232" s="10" t="str">
        <x:v>DOCUMENTS</x:v>
      </x:c>
      <x:c r="D232" s="10" t="str">
        <x:v>ACT-039</x:v>
      </x:c>
      <x:c r="E232" s="10" t="str">
        <x:v>SRC-114</x:v>
      </x:c>
      <x:c r="F232" s="10" t="str">
        <x:v>SYNTHETIQUE</x:v>
      </x:c>
    </x:row>
    <x:row r="233" ht="28" customHeight="1">
      <x:c r="A233" s="11" t="str">
        <x:v>REL-228</x:v>
      </x:c>
      <x:c r="B233" s="11" t="str">
        <x:v>SRC-114</x:v>
      </x:c>
      <x:c r="C233" s="11" t="str">
        <x:v>DOCUMENTS</x:v>
      </x:c>
      <x:c r="D233" s="11" t="str">
        <x:v>ACT-040</x:v>
      </x:c>
      <x:c r="E233" s="11" t="str">
        <x:v>SRC-114</x:v>
      </x:c>
      <x:c r="F233" s="11" t="str">
        <x:v>SYNTHETIQUE</x:v>
      </x:c>
    </x:row>
    <x:row r="234" ht="28" customHeight="1">
      <x:c r="A234" s="10" t="str">
        <x:v>REL-229</x:v>
      </x:c>
      <x:c r="B234" s="10" t="str">
        <x:v>SRC-115</x:v>
      </x:c>
      <x:c r="C234" s="10" t="str">
        <x:v>DOCUMENTS</x:v>
      </x:c>
      <x:c r="D234" s="10" t="str">
        <x:v>ACT-039</x:v>
      </x:c>
      <x:c r="E234" s="10" t="str">
        <x:v>SRC-115</x:v>
      </x:c>
      <x:c r="F234" s="10" t="str">
        <x:v>SYNTHETIQUE</x:v>
      </x:c>
    </x:row>
    <x:row r="235" ht="28" customHeight="1">
      <x:c r="A235" s="11" t="str">
        <x:v>REL-230</x:v>
      </x:c>
      <x:c r="B235" s="11" t="str">
        <x:v>SRC-115</x:v>
      </x:c>
      <x:c r="C235" s="11" t="str">
        <x:v>DOCUMENTS</x:v>
      </x:c>
      <x:c r="D235" s="11" t="str">
        <x:v>ACT-040</x:v>
      </x:c>
      <x:c r="E235" s="11" t="str">
        <x:v>SRC-115</x:v>
      </x:c>
      <x:c r="F235" s="11" t="str">
        <x:v>SYNTHETIQUE</x:v>
      </x:c>
    </x:row>
    <x:row r="236" ht="28" customHeight="1">
      <x:c r="A236" s="10" t="str">
        <x:v>REL-231</x:v>
      </x:c>
      <x:c r="B236" s="10" t="str">
        <x:v>SRC-116</x:v>
      </x:c>
      <x:c r="C236" s="10" t="str">
        <x:v>DOCUMENTS</x:v>
      </x:c>
      <x:c r="D236" s="10" t="str">
        <x:v>ACT-039</x:v>
      </x:c>
      <x:c r="E236" s="10" t="str">
        <x:v>SRC-116</x:v>
      </x:c>
      <x:c r="F236" s="10" t="str">
        <x:v>SYNTHETIQUE</x:v>
      </x:c>
    </x:row>
    <x:row r="237" ht="28" customHeight="1">
      <x:c r="A237" s="11" t="str">
        <x:v>REL-232</x:v>
      </x:c>
      <x:c r="B237" s="11" t="str">
        <x:v>SRC-116</x:v>
      </x:c>
      <x:c r="C237" s="11" t="str">
        <x:v>DOCUMENTS</x:v>
      </x:c>
      <x:c r="D237" s="11" t="str">
        <x:v>ACT-040</x:v>
      </x:c>
      <x:c r="E237" s="11" t="str">
        <x:v>SRC-116</x:v>
      </x:c>
      <x:c r="F237" s="11" t="str">
        <x:v>SYNTHETIQUE</x:v>
      </x:c>
    </x:row>
    <x:row r="238" ht="28" customHeight="1">
      <x:c r="A238" s="10" t="str">
        <x:v>REL-233</x:v>
      </x:c>
      <x:c r="B238" s="10" t="str">
        <x:v>SRC-117</x:v>
      </x:c>
      <x:c r="C238" s="10" t="str">
        <x:v>DOCUMENTS</x:v>
      </x:c>
      <x:c r="D238" s="10" t="str">
        <x:v>ACT-039</x:v>
      </x:c>
      <x:c r="E238" s="10" t="str">
        <x:v>SRC-117</x:v>
      </x:c>
      <x:c r="F238" s="10" t="str">
        <x:v>SYNTHETIQUE</x:v>
      </x:c>
    </x:row>
    <x:row r="239" ht="28" customHeight="1">
      <x:c r="A239" s="11" t="str">
        <x:v>REL-234</x:v>
      </x:c>
      <x:c r="B239" s="11" t="str">
        <x:v>SRC-117</x:v>
      </x:c>
      <x:c r="C239" s="11" t="str">
        <x:v>DOCUMENTS</x:v>
      </x:c>
      <x:c r="D239" s="11" t="str">
        <x:v>ACT-040</x:v>
      </x:c>
      <x:c r="E239" s="11" t="str">
        <x:v>SRC-117</x:v>
      </x:c>
      <x:c r="F239" s="11" t="str">
        <x:v>SYNTHETIQUE</x:v>
      </x:c>
    </x:row>
    <x:row r="240" ht="28" customHeight="1">
      <x:c r="A240" s="10" t="str">
        <x:v>REL-235</x:v>
      </x:c>
      <x:c r="B240" s="10" t="str">
        <x:v>AI-001</x:v>
      </x:c>
      <x:c r="C240" s="10" t="str">
        <x:v>SUPPORTS</x:v>
      </x:c>
      <x:c r="D240" s="10" t="str">
        <x:v>ACT-011</x:v>
      </x:c>
      <x:c r="E240" s="10" t="str">
        <x:v>SRC-098</x:v>
      </x:c>
      <x:c r="F240" s="10" t="str">
        <x:v>SYNTHETIQUE</x:v>
      </x:c>
    </x:row>
    <x:row r="241" ht="28" customHeight="1">
      <x:c r="A241" s="11" t="str">
        <x:v>REL-236</x:v>
      </x:c>
      <x:c r="B241" s="11" t="str">
        <x:v>AI-001</x:v>
      </x:c>
      <x:c r="C241" s="11" t="str">
        <x:v>RUNS_IN</x:v>
      </x:c>
      <x:c r="D241" s="11" t="str">
        <x:v>APP-006</x:v>
      </x:c>
      <x:c r="E241" s="11" t="str">
        <x:v>SRC-099</x:v>
      </x:c>
      <x:c r="F241" s="11" t="str">
        <x:v>SYNTHETIQUE</x:v>
      </x:c>
    </x:row>
    <x:row r="242" ht="28" customHeight="1">
      <x:c r="A242" s="10" t="str">
        <x:v>REL-237</x:v>
      </x:c>
      <x:c r="B242" s="10" t="str">
        <x:v>AI-002</x:v>
      </x:c>
      <x:c r="C242" s="10" t="str">
        <x:v>SUPPORTS</x:v>
      </x:c>
      <x:c r="D242" s="10" t="str">
        <x:v>ACT-012</x:v>
      </x:c>
      <x:c r="E242" s="10" t="str">
        <x:v>SRC-098</x:v>
      </x:c>
      <x:c r="F242" s="10" t="str">
        <x:v>SYNTHETIQUE</x:v>
      </x:c>
    </x:row>
    <x:row r="243" ht="28" customHeight="1">
      <x:c r="A243" s="11" t="str">
        <x:v>REL-238</x:v>
      </x:c>
      <x:c r="B243" s="11" t="str">
        <x:v>AI-002</x:v>
      </x:c>
      <x:c r="C243" s="11" t="str">
        <x:v>RUNS_IN</x:v>
      </x:c>
      <x:c r="D243" s="11" t="str">
        <x:v>APP-006</x:v>
      </x:c>
      <x:c r="E243" s="11" t="str">
        <x:v>SRC-099</x:v>
      </x:c>
      <x:c r="F243" s="11" t="str">
        <x:v>SYNTHETIQUE</x:v>
      </x:c>
    </x:row>
    <x:row r="244" ht="28" customHeight="1">
      <x:c r="A244" s="10" t="str">
        <x:v>REL-239</x:v>
      </x:c>
      <x:c r="B244" s="10" t="str">
        <x:v>AI-003</x:v>
      </x:c>
      <x:c r="C244" s="10" t="str">
        <x:v>SUPPORTS</x:v>
      </x:c>
      <x:c r="D244" s="10" t="str">
        <x:v>ACT-005</x:v>
      </x:c>
      <x:c r="E244" s="10" t="str">
        <x:v>SRC-098</x:v>
      </x:c>
      <x:c r="F244" s="10" t="str">
        <x:v>SYNTHETIQUE</x:v>
      </x:c>
    </x:row>
    <x:row r="245" ht="28" customHeight="1">
      <x:c r="A245" s="11" t="str">
        <x:v>REL-240</x:v>
      </x:c>
      <x:c r="B245" s="11" t="str">
        <x:v>AI-003</x:v>
      </x:c>
      <x:c r="C245" s="11" t="str">
        <x:v>RUNS_IN</x:v>
      </x:c>
      <x:c r="D245" s="11" t="str">
        <x:v>APP-003</x:v>
      </x:c>
      <x:c r="E245" s="11" t="str">
        <x:v>SRC-099</x:v>
      </x:c>
      <x:c r="F245" s="11" t="str">
        <x:v>SYNTHETIQUE</x:v>
      </x:c>
    </x:row>
    <x:row r="246" ht="28" customHeight="1">
      <x:c r="A246" s="10" t="str">
        <x:v>REL-241</x:v>
      </x:c>
      <x:c r="B246" s="10" t="str">
        <x:v>AI-004</x:v>
      </x:c>
      <x:c r="C246" s="10" t="str">
        <x:v>SUPPORTS</x:v>
      </x:c>
      <x:c r="D246" s="10" t="str">
        <x:v>ACT-005</x:v>
      </x:c>
      <x:c r="E246" s="10" t="str">
        <x:v>SRC-098</x:v>
      </x:c>
      <x:c r="F246" s="10" t="str">
        <x:v>SYNTHETIQUE</x:v>
      </x:c>
    </x:row>
    <x:row r="247" ht="28" customHeight="1">
      <x:c r="A247" s="11" t="str">
        <x:v>REL-242</x:v>
      </x:c>
      <x:c r="B247" s="11" t="str">
        <x:v>AI-004</x:v>
      </x:c>
      <x:c r="C247" s="11" t="str">
        <x:v>RUNS_IN</x:v>
      </x:c>
      <x:c r="D247" s="11" t="str">
        <x:v>APP-022</x:v>
      </x:c>
      <x:c r="E247" s="11" t="str">
        <x:v>SRC-099</x:v>
      </x:c>
      <x:c r="F247" s="11" t="str">
        <x:v>SYNTHETIQUE</x:v>
      </x:c>
    </x:row>
    <x:row r="248" ht="28" customHeight="1">
      <x:c r="A248" s="10" t="str">
        <x:v>REL-243</x:v>
      </x:c>
      <x:c r="B248" s="10" t="str">
        <x:v>AI-005</x:v>
      </x:c>
      <x:c r="C248" s="10" t="str">
        <x:v>SUPPORTS</x:v>
      </x:c>
      <x:c r="D248" s="10" t="str">
        <x:v>ACT-025</x:v>
      </x:c>
      <x:c r="E248" s="10" t="str">
        <x:v>SRC-098</x:v>
      </x:c>
      <x:c r="F248" s="10" t="str">
        <x:v>SYNTHETIQUE</x:v>
      </x:c>
    </x:row>
    <x:row r="249" ht="28" customHeight="1">
      <x:c r="A249" s="11" t="str">
        <x:v>REL-244</x:v>
      </x:c>
      <x:c r="B249" s="11" t="str">
        <x:v>AI-005</x:v>
      </x:c>
      <x:c r="C249" s="11" t="str">
        <x:v>RUNS_IN</x:v>
      </x:c>
      <x:c r="D249" s="11" t="str">
        <x:v>APP-013</x:v>
      </x:c>
      <x:c r="E249" s="11" t="str">
        <x:v>SRC-099</x:v>
      </x:c>
      <x:c r="F249" s="11" t="str">
        <x:v>SYNTHETIQUE</x:v>
      </x:c>
    </x:row>
    <x:row r="250" ht="28" customHeight="1">
      <x:c r="A250" s="10" t="str">
        <x:v>REL-245</x:v>
      </x:c>
      <x:c r="B250" s="10" t="str">
        <x:v>AI-006</x:v>
      </x:c>
      <x:c r="C250" s="10" t="str">
        <x:v>SUPPORTS</x:v>
      </x:c>
      <x:c r="D250" s="10" t="str">
        <x:v>ACT-039</x:v>
      </x:c>
      <x:c r="E250" s="10" t="str">
        <x:v>SRC-098</x:v>
      </x:c>
      <x:c r="F250" s="10" t="str">
        <x:v>SYNTHETIQUE</x:v>
      </x:c>
    </x:row>
    <x:row r="251" ht="28" customHeight="1">
      <x:c r="A251" s="11" t="str">
        <x:v>REL-246</x:v>
      </x:c>
      <x:c r="B251" s="11" t="str">
        <x:v>AI-006</x:v>
      </x:c>
      <x:c r="C251" s="11" t="str">
        <x:v>RUNS_IN</x:v>
      </x:c>
      <x:c r="D251" s="11" t="str">
        <x:v>APP-021</x:v>
      </x:c>
      <x:c r="E251" s="11" t="str">
        <x:v>SRC-099</x:v>
      </x:c>
      <x:c r="F251" s="11" t="str">
        <x:v>SYNTHETIQUE</x:v>
      </x:c>
    </x:row>
    <x:row r="252" ht="28" customHeight="1">
      <x:c r="A252" s="10" t="str">
        <x:v>REL-247</x:v>
      </x:c>
      <x:c r="B252" s="10" t="str">
        <x:v>AI-007</x:v>
      </x:c>
      <x:c r="C252" s="10" t="str">
        <x:v>SUPPORTS</x:v>
      </x:c>
      <x:c r="D252" s="10" t="str">
        <x:v>ACT-013</x:v>
      </x:c>
      <x:c r="E252" s="10" t="str">
        <x:v>SRC-098</x:v>
      </x:c>
      <x:c r="F252" s="10" t="str">
        <x:v>SYNTHETIQUE</x:v>
      </x:c>
    </x:row>
    <x:row r="253" ht="28" customHeight="1">
      <x:c r="A253" s="11" t="str">
        <x:v>REL-248</x:v>
      </x:c>
      <x:c r="B253" s="11" t="str">
        <x:v>AI-007</x:v>
      </x:c>
      <x:c r="C253" s="11" t="str">
        <x:v>RUNS_IN</x:v>
      </x:c>
      <x:c r="D253" s="11" t="str">
        <x:v>APP-007</x:v>
      </x:c>
      <x:c r="E253" s="11" t="str">
        <x:v>SRC-099</x:v>
      </x:c>
      <x:c r="F253" s="11" t="str">
        <x:v>SYNTHETIQUE</x:v>
      </x:c>
    </x:row>
    <x:row r="254" ht="28" customHeight="1">
      <x:c r="A254" s="10" t="str">
        <x:v>REL-249</x:v>
      </x:c>
      <x:c r="B254" s="10" t="str">
        <x:v>AI-008</x:v>
      </x:c>
      <x:c r="C254" s="10" t="str">
        <x:v>SUPPORTS</x:v>
      </x:c>
      <x:c r="D254" s="10" t="str">
        <x:v>ACT-015</x:v>
      </x:c>
      <x:c r="E254" s="10" t="str">
        <x:v>SRC-098</x:v>
      </x:c>
      <x:c r="F254" s="10" t="str">
        <x:v>SYNTHETIQUE</x:v>
      </x:c>
    </x:row>
    <x:row r="255" ht="28" customHeight="1">
      <x:c r="A255" s="11" t="str">
        <x:v>REL-250</x:v>
      </x:c>
      <x:c r="B255" s="11" t="str">
        <x:v>AI-008</x:v>
      </x:c>
      <x:c r="C255" s="11" t="str">
        <x:v>RUNS_IN</x:v>
      </x:c>
      <x:c r="D255" s="11" t="str">
        <x:v>APP-008</x:v>
      </x:c>
      <x:c r="E255" s="11" t="str">
        <x:v>SRC-099</x:v>
      </x:c>
      <x:c r="F255" s="11" t="str">
        <x:v>SYNTHETIQUE</x:v>
      </x:c>
    </x:row>
    <x:row r="256" ht="28" customHeight="1">
      <x:c r="A256" s="10" t="str">
        <x:v>REL-251</x:v>
      </x:c>
      <x:c r="B256" s="10" t="str">
        <x:v>AI-009</x:v>
      </x:c>
      <x:c r="C256" s="10" t="str">
        <x:v>SUPPORTS</x:v>
      </x:c>
      <x:c r="D256" s="10" t="str">
        <x:v>ACT-017</x:v>
      </x:c>
      <x:c r="E256" s="10" t="str">
        <x:v>SRC-098</x:v>
      </x:c>
      <x:c r="F256" s="10" t="str">
        <x:v>SYNTHETIQUE</x:v>
      </x:c>
    </x:row>
    <x:row r="257" ht="28" customHeight="1">
      <x:c r="A257" s="11" t="str">
        <x:v>REL-252</x:v>
      </x:c>
      <x:c r="B257" s="11" t="str">
        <x:v>AI-009</x:v>
      </x:c>
      <x:c r="C257" s="11" t="str">
        <x:v>RUNS_IN</x:v>
      </x:c>
      <x:c r="D257" s="11" t="str">
        <x:v>APP-009</x:v>
      </x:c>
      <x:c r="E257" s="11" t="str">
        <x:v>SRC-099</x:v>
      </x:c>
      <x:c r="F257" s="11" t="str">
        <x:v>SYNTHETIQUE</x:v>
      </x:c>
    </x:row>
    <x:row r="258" ht="28" customHeight="1">
      <x:c r="A258" s="10" t="str">
        <x:v>REL-253</x:v>
      </x:c>
      <x:c r="B258" s="10" t="str">
        <x:v>AI-010</x:v>
      </x:c>
      <x:c r="C258" s="10" t="str">
        <x:v>SUPPORTS</x:v>
      </x:c>
      <x:c r="D258" s="10" t="str">
        <x:v>ACT-019</x:v>
      </x:c>
      <x:c r="E258" s="10" t="str">
        <x:v>SRC-098</x:v>
      </x:c>
      <x:c r="F258" s="10" t="str">
        <x:v>SYNTHETIQUE</x:v>
      </x:c>
    </x:row>
    <x:row r="259" ht="28" customHeight="1">
      <x:c r="A259" s="11" t="str">
        <x:v>REL-254</x:v>
      </x:c>
      <x:c r="B259" s="11" t="str">
        <x:v>AI-010</x:v>
      </x:c>
      <x:c r="C259" s="11" t="str">
        <x:v>RUNS_IN</x:v>
      </x:c>
      <x:c r="D259" s="11" t="str">
        <x:v>APP-010</x:v>
      </x:c>
      <x:c r="E259" s="11" t="str">
        <x:v>SRC-099</x:v>
      </x:c>
      <x:c r="F259" s="11" t="str">
        <x:v>SYNTHETIQUE</x:v>
      </x:c>
    </x:row>
    <x:row r="260" ht="28" customHeight="1">
      <x:c r="A260" s="10" t="str">
        <x:v>REL-255</x:v>
      </x:c>
      <x:c r="B260" s="10" t="str">
        <x:v>AI-011</x:v>
      </x:c>
      <x:c r="C260" s="10" t="str">
        <x:v>SUPPORTS</x:v>
      </x:c>
      <x:c r="D260" s="10" t="str">
        <x:v>ACT-021</x:v>
      </x:c>
      <x:c r="E260" s="10" t="str">
        <x:v>SRC-098</x:v>
      </x:c>
      <x:c r="F260" s="10" t="str">
        <x:v>SYNTHETIQUE</x:v>
      </x:c>
    </x:row>
    <x:row r="261" ht="28" customHeight="1">
      <x:c r="A261" s="11" t="str">
        <x:v>REL-256</x:v>
      </x:c>
      <x:c r="B261" s="11" t="str">
        <x:v>AI-011</x:v>
      </x:c>
      <x:c r="C261" s="11" t="str">
        <x:v>RUNS_IN</x:v>
      </x:c>
      <x:c r="D261" s="11" t="str">
        <x:v>APP-011</x:v>
      </x:c>
      <x:c r="E261" s="11" t="str">
        <x:v>SRC-099</x:v>
      </x:c>
      <x:c r="F261" s="11" t="str">
        <x:v>SYNTHETIQUE</x:v>
      </x:c>
    </x:row>
    <x:row r="262" ht="28" customHeight="1">
      <x:c r="A262" s="10" t="str">
        <x:v>REL-257</x:v>
      </x:c>
      <x:c r="B262" s="10" t="str">
        <x:v>AI-012</x:v>
      </x:c>
      <x:c r="C262" s="10" t="str">
        <x:v>SUPPORTS</x:v>
      </x:c>
      <x:c r="D262" s="10" t="str">
        <x:v>ACT-023</x:v>
      </x:c>
      <x:c r="E262" s="10" t="str">
        <x:v>SRC-098</x:v>
      </x:c>
      <x:c r="F262" s="10" t="str">
        <x:v>SYNTHETIQUE</x:v>
      </x:c>
    </x:row>
    <x:row r="263" ht="28" customHeight="1">
      <x:c r="A263" s="11" t="str">
        <x:v>REL-258</x:v>
      </x:c>
      <x:c r="B263" s="11" t="str">
        <x:v>AI-012</x:v>
      </x:c>
      <x:c r="C263" s="11" t="str">
        <x:v>RUNS_IN</x:v>
      </x:c>
      <x:c r="D263" s="11" t="str">
        <x:v>APP-012</x:v>
      </x:c>
      <x:c r="E263" s="11" t="str">
        <x:v>SRC-099</x:v>
      </x:c>
      <x:c r="F263" s="11" t="str">
        <x:v>SYNTHETIQUE</x:v>
      </x:c>
    </x:row>
    <x:row r="264" ht="28" customHeight="1">
      <x:c r="A264" s="10" t="str">
        <x:v>REL-259</x:v>
      </x:c>
      <x:c r="B264" s="10" t="str">
        <x:v>AI-013</x:v>
      </x:c>
      <x:c r="C264" s="10" t="str">
        <x:v>SUPPORTS</x:v>
      </x:c>
      <x:c r="D264" s="10" t="str">
        <x:v>ACT-031</x:v>
      </x:c>
      <x:c r="E264" s="10" t="str">
        <x:v>SRC-098</x:v>
      </x:c>
      <x:c r="F264" s="10" t="str">
        <x:v>SYNTHETIQUE</x:v>
      </x:c>
    </x:row>
    <x:row r="265" ht="28" customHeight="1">
      <x:c r="A265" s="11" t="str">
        <x:v>REL-260</x:v>
      </x:c>
      <x:c r="B265" s="11" t="str">
        <x:v>AI-013</x:v>
      </x:c>
      <x:c r="C265" s="11" t="str">
        <x:v>RUNS_IN</x:v>
      </x:c>
      <x:c r="D265" s="11" t="str">
        <x:v>APP-016</x:v>
      </x:c>
      <x:c r="E265" s="11" t="str">
        <x:v>SRC-099</x:v>
      </x:c>
      <x:c r="F265" s="11" t="str">
        <x:v>SYNTHETIQUE</x:v>
      </x:c>
    </x:row>
    <x:row r="266" ht="28" customHeight="1">
      <x:c r="A266" s="10" t="str">
        <x:v>REL-261</x:v>
      </x:c>
      <x:c r="B266" s="10" t="str">
        <x:v>AI-014</x:v>
      </x:c>
      <x:c r="C266" s="10" t="str">
        <x:v>SUPPORTS</x:v>
      </x:c>
      <x:c r="D266" s="10" t="str">
        <x:v>ACT-033</x:v>
      </x:c>
      <x:c r="E266" s="10" t="str">
        <x:v>SRC-098</x:v>
      </x:c>
      <x:c r="F266" s="10" t="str">
        <x:v>SYNTHETIQUE</x:v>
      </x:c>
    </x:row>
    <x:row r="267" ht="28" customHeight="1">
      <x:c r="A267" s="11" t="str">
        <x:v>REL-262</x:v>
      </x:c>
      <x:c r="B267" s="11" t="str">
        <x:v>AI-014</x:v>
      </x:c>
      <x:c r="C267" s="11" t="str">
        <x:v>RUNS_IN</x:v>
      </x:c>
      <x:c r="D267" s="11" t="str">
        <x:v>APP-017</x:v>
      </x:c>
      <x:c r="E267" s="11" t="str">
        <x:v>SRC-099</x:v>
      </x:c>
      <x:c r="F267" s="11" t="str">
        <x:v>SYNTHETIQUE</x:v>
      </x:c>
    </x:row>
    <x:row r="268" ht="28" customHeight="1">
      <x:c r="A268" s="10" t="str">
        <x:v>REL-263</x:v>
      </x:c>
      <x:c r="B268" s="10" t="str">
        <x:v>AI-015</x:v>
      </x:c>
      <x:c r="C268" s="10" t="str">
        <x:v>SUPPORTS</x:v>
      </x:c>
      <x:c r="D268" s="10" t="str">
        <x:v>ACT-003</x:v>
      </x:c>
      <x:c r="E268" s="10" t="str">
        <x:v>SRC-098</x:v>
      </x:c>
      <x:c r="F268" s="10" t="str">
        <x:v>SYNTHETIQUE</x:v>
      </x:c>
    </x:row>
    <x:row r="269" ht="28" customHeight="1">
      <x:c r="A269" s="11" t="str">
        <x:v>REL-264</x:v>
      </x:c>
      <x:c r="B269" s="11" t="str">
        <x:v>AI-015</x:v>
      </x:c>
      <x:c r="C269" s="11" t="str">
        <x:v>RUNS_IN</x:v>
      </x:c>
      <x:c r="D269" s="11" t="str">
        <x:v>APP-023</x:v>
      </x:c>
      <x:c r="E269" s="11" t="str">
        <x:v>SRC-099</x:v>
      </x:c>
      <x:c r="F269" s="11" t="str">
        <x:v>SYNTHETIQUE</x:v>
      </x:c>
    </x:row>
    <x:row r="270" ht="28" customHeight="1">
      <x:c r="A270" s="10" t="str">
        <x:v>REL-265</x:v>
      </x:c>
      <x:c r="B270" s="10" t="str">
        <x:v>AI-016</x:v>
      </x:c>
      <x:c r="C270" s="10" t="str">
        <x:v>SUPPORTS</x:v>
      </x:c>
      <x:c r="D270" s="10" t="str">
        <x:v>ACT-039</x:v>
      </x:c>
      <x:c r="E270" s="10" t="str">
        <x:v>SRC-098</x:v>
      </x:c>
      <x:c r="F270" s="10" t="str">
        <x:v>SYNTHETIQUE</x:v>
      </x:c>
    </x:row>
    <x:row r="271" ht="28" customHeight="1">
      <x:c r="A271" s="11" t="str">
        <x:v>REL-266</x:v>
      </x:c>
      <x:c r="B271" s="11" t="str">
        <x:v>AI-016</x:v>
      </x:c>
      <x:c r="C271" s="11" t="str">
        <x:v>RUNS_IN</x:v>
      </x:c>
      <x:c r="D271" s="11" t="str">
        <x:v>APP-024</x:v>
      </x:c>
      <x:c r="E271" s="11" t="str">
        <x:v>SRC-099</x:v>
      </x:c>
      <x:c r="F271" s="11" t="str">
        <x:v>SYNTHETIQUE</x:v>
      </x:c>
    </x:row>
    <x:row r="272" ht="28" customHeight="1">
      <x:c r="A272" s="10" t="str">
        <x:v>REL-267</x:v>
      </x:c>
      <x:c r="B272" s="10" t="str">
        <x:v>PER-001</x:v>
      </x:c>
      <x:c r="C272" s="10" t="str">
        <x:v>PERFORMS</x:v>
      </x:c>
      <x:c r="D272" s="10" t="str">
        <x:v>ACT-001</x:v>
      </x:c>
      <x:c r="E272" s="10" t="str">
        <x:v>SRC-001</x:v>
      </x:c>
      <x:c r="F272" s="10" t="str">
        <x:v>SYNTHETIQUE</x:v>
      </x:c>
    </x:row>
    <x:row r="273" ht="28" customHeight="1">
      <x:c r="A273" s="11" t="str">
        <x:v>REL-268</x:v>
      </x:c>
      <x:c r="B273" s="11" t="str">
        <x:v>ACT-001</x:v>
      </x:c>
      <x:c r="C273" s="11" t="str">
        <x:v>CONTAINS</x:v>
      </x:c>
      <x:c r="D273" s="11" t="str">
        <x:v>DEC-001</x:v>
      </x:c>
      <x:c r="E273" s="11" t="str">
        <x:v>SRC-001</x:v>
      </x:c>
      <x:c r="F273" s="11" t="str">
        <x:v>SYNTHETIQUE</x:v>
      </x:c>
    </x:row>
    <x:row r="274" ht="28" customHeight="1">
      <x:c r="A274" s="10" t="str">
        <x:v>REL-269</x:v>
      </x:c>
      <x:c r="B274" s="10" t="str">
        <x:v>PER-001</x:v>
      </x:c>
      <x:c r="C274" s="10" t="str">
        <x:v>PERFORMS</x:v>
      </x:c>
      <x:c r="D274" s="10" t="str">
        <x:v>ACT-002</x:v>
      </x:c>
      <x:c r="E274" s="10" t="str">
        <x:v>SRC-001</x:v>
      </x:c>
      <x:c r="F274" s="10" t="str">
        <x:v>SYNTHETIQUE</x:v>
      </x:c>
    </x:row>
    <x:row r="275" ht="28" customHeight="1">
      <x:c r="A275" s="11" t="str">
        <x:v>REL-270</x:v>
      </x:c>
      <x:c r="B275" s="11" t="str">
        <x:v>ACT-002</x:v>
      </x:c>
      <x:c r="C275" s="11" t="str">
        <x:v>CONTAINS</x:v>
      </x:c>
      <x:c r="D275" s="11" t="str">
        <x:v>DEC-002</x:v>
      </x:c>
      <x:c r="E275" s="11" t="str">
        <x:v>SRC-001</x:v>
      </x:c>
      <x:c r="F275" s="11" t="str">
        <x:v>SYNTHETIQUE</x:v>
      </x:c>
    </x:row>
    <x:row r="276" ht="28" customHeight="1">
      <x:c r="A276" s="10" t="str">
        <x:v>REL-271</x:v>
      </x:c>
      <x:c r="B276" s="10" t="str">
        <x:v>PER-002</x:v>
      </x:c>
      <x:c r="C276" s="10" t="str">
        <x:v>PERFORMS</x:v>
      </x:c>
      <x:c r="D276" s="10" t="str">
        <x:v>ACT-003</x:v>
      </x:c>
      <x:c r="E276" s="10" t="str">
        <x:v>SRC-007</x:v>
      </x:c>
      <x:c r="F276" s="10" t="str">
        <x:v>SYNTHETIQUE</x:v>
      </x:c>
    </x:row>
    <x:row r="277" ht="28" customHeight="1">
      <x:c r="A277" s="11" t="str">
        <x:v>REL-272</x:v>
      </x:c>
      <x:c r="B277" s="11" t="str">
        <x:v>ACT-003</x:v>
      </x:c>
      <x:c r="C277" s="11" t="str">
        <x:v>CONTAINS</x:v>
      </x:c>
      <x:c r="D277" s="11" t="str">
        <x:v>DEC-003</x:v>
      </x:c>
      <x:c r="E277" s="11" t="str">
        <x:v>SRC-007</x:v>
      </x:c>
      <x:c r="F277" s="11" t="str">
        <x:v>SYNTHETIQUE</x:v>
      </x:c>
    </x:row>
    <x:row r="278" ht="28" customHeight="1">
      <x:c r="A278" s="10" t="str">
        <x:v>REL-273</x:v>
      </x:c>
      <x:c r="B278" s="10" t="str">
        <x:v>PER-002</x:v>
      </x:c>
      <x:c r="C278" s="10" t="str">
        <x:v>PERFORMS</x:v>
      </x:c>
      <x:c r="D278" s="10" t="str">
        <x:v>ACT-004</x:v>
      </x:c>
      <x:c r="E278" s="10" t="str">
        <x:v>SRC-007</x:v>
      </x:c>
      <x:c r="F278" s="10" t="str">
        <x:v>SYNTHETIQUE</x:v>
      </x:c>
    </x:row>
    <x:row r="279" ht="28" customHeight="1">
      <x:c r="A279" s="11" t="str">
        <x:v>REL-274</x:v>
      </x:c>
      <x:c r="B279" s="11" t="str">
        <x:v>ACT-004</x:v>
      </x:c>
      <x:c r="C279" s="11" t="str">
        <x:v>CONTAINS</x:v>
      </x:c>
      <x:c r="D279" s="11" t="str">
        <x:v>DEC-004</x:v>
      </x:c>
      <x:c r="E279" s="11" t="str">
        <x:v>SRC-007</x:v>
      </x:c>
      <x:c r="F279" s="11" t="str">
        <x:v>SYNTHETIQUE</x:v>
      </x:c>
    </x:row>
    <x:row r="280" ht="28" customHeight="1">
      <x:c r="A280" s="10" t="str">
        <x:v>REL-275</x:v>
      </x:c>
      <x:c r="B280" s="10" t="str">
        <x:v>PER-003</x:v>
      </x:c>
      <x:c r="C280" s="10" t="str">
        <x:v>PERFORMS</x:v>
      </x:c>
      <x:c r="D280" s="10" t="str">
        <x:v>ACT-005</x:v>
      </x:c>
      <x:c r="E280" s="10" t="str">
        <x:v>SRC-013</x:v>
      </x:c>
      <x:c r="F280" s="10" t="str">
        <x:v>SYNTHETIQUE</x:v>
      </x:c>
    </x:row>
    <x:row r="281" ht="28" customHeight="1">
      <x:c r="A281" s="11" t="str">
        <x:v>REL-276</x:v>
      </x:c>
      <x:c r="B281" s="11" t="str">
        <x:v>ACT-005</x:v>
      </x:c>
      <x:c r="C281" s="11" t="str">
        <x:v>CONTAINS</x:v>
      </x:c>
      <x:c r="D281" s="11" t="str">
        <x:v>DEC-005</x:v>
      </x:c>
      <x:c r="E281" s="11" t="str">
        <x:v>SRC-013</x:v>
      </x:c>
      <x:c r="F281" s="11" t="str">
        <x:v>SYNTHETIQUE</x:v>
      </x:c>
    </x:row>
    <x:row r="282" ht="28" customHeight="1">
      <x:c r="A282" s="10" t="str">
        <x:v>REL-277</x:v>
      </x:c>
      <x:c r="B282" s="10" t="str">
        <x:v>PER-003</x:v>
      </x:c>
      <x:c r="C282" s="10" t="str">
        <x:v>PERFORMS</x:v>
      </x:c>
      <x:c r="D282" s="10" t="str">
        <x:v>ACT-006</x:v>
      </x:c>
      <x:c r="E282" s="10" t="str">
        <x:v>SRC-013</x:v>
      </x:c>
      <x:c r="F282" s="10" t="str">
        <x:v>SYNTHETIQUE</x:v>
      </x:c>
    </x:row>
    <x:row r="283" ht="28" customHeight="1">
      <x:c r="A283" s="11" t="str">
        <x:v>REL-278</x:v>
      </x:c>
      <x:c r="B283" s="11" t="str">
        <x:v>ACT-006</x:v>
      </x:c>
      <x:c r="C283" s="11" t="str">
        <x:v>CONTAINS</x:v>
      </x:c>
      <x:c r="D283" s="11" t="str">
        <x:v>DEC-006</x:v>
      </x:c>
      <x:c r="E283" s="11" t="str">
        <x:v>SRC-013</x:v>
      </x:c>
      <x:c r="F283" s="11" t="str">
        <x:v>SYNTHETIQUE</x:v>
      </x:c>
    </x:row>
    <x:row r="284" ht="28" customHeight="1">
      <x:c r="A284" s="10" t="str">
        <x:v>REL-279</x:v>
      </x:c>
      <x:c r="B284" s="10" t="str">
        <x:v>PER-004</x:v>
      </x:c>
      <x:c r="C284" s="10" t="str">
        <x:v>PERFORMS</x:v>
      </x:c>
      <x:c r="D284" s="10" t="str">
        <x:v>ACT-007</x:v>
      </x:c>
      <x:c r="E284" s="10" t="str">
        <x:v>SRC-019</x:v>
      </x:c>
      <x:c r="F284" s="10" t="str">
        <x:v>SYNTHETIQUE</x:v>
      </x:c>
    </x:row>
    <x:row r="285" ht="28" customHeight="1">
      <x:c r="A285" s="11" t="str">
        <x:v>REL-280</x:v>
      </x:c>
      <x:c r="B285" s="11" t="str">
        <x:v>ACT-007</x:v>
      </x:c>
      <x:c r="C285" s="11" t="str">
        <x:v>CONTAINS</x:v>
      </x:c>
      <x:c r="D285" s="11" t="str">
        <x:v>DEC-007</x:v>
      </x:c>
      <x:c r="E285" s="11" t="str">
        <x:v>SRC-019</x:v>
      </x:c>
      <x:c r="F285" s="11" t="str">
        <x:v>SYNTHETIQUE</x:v>
      </x:c>
    </x:row>
    <x:row r="286" ht="28" customHeight="1">
      <x:c r="A286" s="10" t="str">
        <x:v>REL-281</x:v>
      </x:c>
      <x:c r="B286" s="10" t="str">
        <x:v>PER-004</x:v>
      </x:c>
      <x:c r="C286" s="10" t="str">
        <x:v>PERFORMS</x:v>
      </x:c>
      <x:c r="D286" s="10" t="str">
        <x:v>ACT-008</x:v>
      </x:c>
      <x:c r="E286" s="10" t="str">
        <x:v>SRC-019</x:v>
      </x:c>
      <x:c r="F286" s="10" t="str">
        <x:v>SYNTHETIQUE</x:v>
      </x:c>
    </x:row>
    <x:row r="287" ht="28" customHeight="1">
      <x:c r="A287" s="11" t="str">
        <x:v>REL-282</x:v>
      </x:c>
      <x:c r="B287" s="11" t="str">
        <x:v>ACT-008</x:v>
      </x:c>
      <x:c r="C287" s="11" t="str">
        <x:v>CONTAINS</x:v>
      </x:c>
      <x:c r="D287" s="11" t="str">
        <x:v>DEC-008</x:v>
      </x:c>
      <x:c r="E287" s="11" t="str">
        <x:v>SRC-019</x:v>
      </x:c>
      <x:c r="F287" s="11" t="str">
        <x:v>SYNTHETIQUE</x:v>
      </x:c>
    </x:row>
    <x:row r="288" ht="28" customHeight="1">
      <x:c r="A288" s="10" t="str">
        <x:v>REL-283</x:v>
      </x:c>
      <x:c r="B288" s="10" t="str">
        <x:v>PER-005</x:v>
      </x:c>
      <x:c r="C288" s="10" t="str">
        <x:v>PERFORMS</x:v>
      </x:c>
      <x:c r="D288" s="10" t="str">
        <x:v>ACT-009</x:v>
      </x:c>
      <x:c r="E288" s="10" t="str">
        <x:v>SRC-025</x:v>
      </x:c>
      <x:c r="F288" s="10" t="str">
        <x:v>SYNTHETIQUE</x:v>
      </x:c>
    </x:row>
    <x:row r="289" ht="28" customHeight="1">
      <x:c r="A289" s="11" t="str">
        <x:v>REL-284</x:v>
      </x:c>
      <x:c r="B289" s="11" t="str">
        <x:v>ACT-009</x:v>
      </x:c>
      <x:c r="C289" s="11" t="str">
        <x:v>CONTAINS</x:v>
      </x:c>
      <x:c r="D289" s="11" t="str">
        <x:v>DEC-009</x:v>
      </x:c>
      <x:c r="E289" s="11" t="str">
        <x:v>SRC-025</x:v>
      </x:c>
      <x:c r="F289" s="11" t="str">
        <x:v>SYNTHETIQUE</x:v>
      </x:c>
    </x:row>
    <x:row r="290" ht="28" customHeight="1">
      <x:c r="A290" s="10" t="str">
        <x:v>REL-285</x:v>
      </x:c>
      <x:c r="B290" s="10" t="str">
        <x:v>PER-005</x:v>
      </x:c>
      <x:c r="C290" s="10" t="str">
        <x:v>PERFORMS</x:v>
      </x:c>
      <x:c r="D290" s="10" t="str">
        <x:v>ACT-010</x:v>
      </x:c>
      <x:c r="E290" s="10" t="str">
        <x:v>SRC-025</x:v>
      </x:c>
      <x:c r="F290" s="10" t="str">
        <x:v>SYNTHETIQUE</x:v>
      </x:c>
    </x:row>
    <x:row r="291" ht="28" customHeight="1">
      <x:c r="A291" s="11" t="str">
        <x:v>REL-286</x:v>
      </x:c>
      <x:c r="B291" s="11" t="str">
        <x:v>ACT-010</x:v>
      </x:c>
      <x:c r="C291" s="11" t="str">
        <x:v>CONTAINS</x:v>
      </x:c>
      <x:c r="D291" s="11" t="str">
        <x:v>DEC-010</x:v>
      </x:c>
      <x:c r="E291" s="11" t="str">
        <x:v>SRC-025</x:v>
      </x:c>
      <x:c r="F291" s="11" t="str">
        <x:v>SYNTHETIQUE</x:v>
      </x:c>
    </x:row>
    <x:row r="292" ht="28" customHeight="1">
      <x:c r="A292" s="10" t="str">
        <x:v>REL-287</x:v>
      </x:c>
      <x:c r="B292" s="10" t="str">
        <x:v>PER-006</x:v>
      </x:c>
      <x:c r="C292" s="10" t="str">
        <x:v>PERFORMS</x:v>
      </x:c>
      <x:c r="D292" s="10" t="str">
        <x:v>ACT-011</x:v>
      </x:c>
      <x:c r="E292" s="10" t="str">
        <x:v>SRC-031</x:v>
      </x:c>
      <x:c r="F292" s="10" t="str">
        <x:v>SYNTHETIQUE</x:v>
      </x:c>
    </x:row>
    <x:row r="293" ht="28" customHeight="1">
      <x:c r="A293" s="11" t="str">
        <x:v>REL-288</x:v>
      </x:c>
      <x:c r="B293" s="11" t="str">
        <x:v>ACT-011</x:v>
      </x:c>
      <x:c r="C293" s="11" t="str">
        <x:v>CONTAINS</x:v>
      </x:c>
      <x:c r="D293" s="11" t="str">
        <x:v>DEC-011</x:v>
      </x:c>
      <x:c r="E293" s="11" t="str">
        <x:v>SRC-031</x:v>
      </x:c>
      <x:c r="F293" s="11" t="str">
        <x:v>SYNTHETIQUE</x:v>
      </x:c>
    </x:row>
    <x:row r="294" ht="28" customHeight="1">
      <x:c r="A294" s="10" t="str">
        <x:v>REL-289</x:v>
      </x:c>
      <x:c r="B294" s="10" t="str">
        <x:v>PER-006</x:v>
      </x:c>
      <x:c r="C294" s="10" t="str">
        <x:v>PERFORMS</x:v>
      </x:c>
      <x:c r="D294" s="10" t="str">
        <x:v>ACT-012</x:v>
      </x:c>
      <x:c r="E294" s="10" t="str">
        <x:v>SRC-031</x:v>
      </x:c>
      <x:c r="F294" s="10" t="str">
        <x:v>SYNTHETIQUE</x:v>
      </x:c>
    </x:row>
    <x:row r="295" ht="28" customHeight="1">
      <x:c r="A295" s="11" t="str">
        <x:v>REL-290</x:v>
      </x:c>
      <x:c r="B295" s="11" t="str">
        <x:v>ACT-012</x:v>
      </x:c>
      <x:c r="C295" s="11" t="str">
        <x:v>CONTAINS</x:v>
      </x:c>
      <x:c r="D295" s="11" t="str">
        <x:v>DEC-012</x:v>
      </x:c>
      <x:c r="E295" s="11" t="str">
        <x:v>SRC-031</x:v>
      </x:c>
      <x:c r="F295" s="11" t="str">
        <x:v>SYNTHETIQUE</x:v>
      </x:c>
    </x:row>
    <x:row r="296" ht="28" customHeight="1">
      <x:c r="A296" s="10" t="str">
        <x:v>REL-291</x:v>
      </x:c>
      <x:c r="B296" s="10" t="str">
        <x:v>PER-007</x:v>
      </x:c>
      <x:c r="C296" s="10" t="str">
        <x:v>PERFORMS</x:v>
      </x:c>
      <x:c r="D296" s="10" t="str">
        <x:v>ACT-013</x:v>
      </x:c>
      <x:c r="E296" s="10" t="str">
        <x:v>SRC-039</x:v>
      </x:c>
      <x:c r="F296" s="10" t="str">
        <x:v>SYNTHETIQUE</x:v>
      </x:c>
    </x:row>
    <x:row r="297" ht="28" customHeight="1">
      <x:c r="A297" s="11" t="str">
        <x:v>REL-292</x:v>
      </x:c>
      <x:c r="B297" s="11" t="str">
        <x:v>ACT-013</x:v>
      </x:c>
      <x:c r="C297" s="11" t="str">
        <x:v>CONTAINS</x:v>
      </x:c>
      <x:c r="D297" s="11" t="str">
        <x:v>DEC-013</x:v>
      </x:c>
      <x:c r="E297" s="11" t="str">
        <x:v>SRC-039</x:v>
      </x:c>
      <x:c r="F297" s="11" t="str">
        <x:v>SYNTHETIQUE</x:v>
      </x:c>
    </x:row>
    <x:row r="298" ht="28" customHeight="1">
      <x:c r="A298" s="10" t="str">
        <x:v>REL-293</x:v>
      </x:c>
      <x:c r="B298" s="10" t="str">
        <x:v>PER-007</x:v>
      </x:c>
      <x:c r="C298" s="10" t="str">
        <x:v>PERFORMS</x:v>
      </x:c>
      <x:c r="D298" s="10" t="str">
        <x:v>ACT-014</x:v>
      </x:c>
      <x:c r="E298" s="10" t="str">
        <x:v>SRC-039</x:v>
      </x:c>
      <x:c r="F298" s="10" t="str">
        <x:v>SYNTHETIQUE</x:v>
      </x:c>
    </x:row>
    <x:row r="299" ht="28" customHeight="1">
      <x:c r="A299" s="11" t="str">
        <x:v>REL-294</x:v>
      </x:c>
      <x:c r="B299" s="11" t="str">
        <x:v>ACT-014</x:v>
      </x:c>
      <x:c r="C299" s="11" t="str">
        <x:v>CONTAINS</x:v>
      </x:c>
      <x:c r="D299" s="11" t="str">
        <x:v>DEC-014</x:v>
      </x:c>
      <x:c r="E299" s="11" t="str">
        <x:v>SRC-039</x:v>
      </x:c>
      <x:c r="F299" s="11" t="str">
        <x:v>SYNTHETIQUE</x:v>
      </x:c>
    </x:row>
    <x:row r="300" ht="28" customHeight="1">
      <x:c r="A300" s="10" t="str">
        <x:v>REL-295</x:v>
      </x:c>
      <x:c r="B300" s="10" t="str">
        <x:v>PER-008</x:v>
      </x:c>
      <x:c r="C300" s="10" t="str">
        <x:v>PERFORMS</x:v>
      </x:c>
      <x:c r="D300" s="10" t="str">
        <x:v>ACT-015</x:v>
      </x:c>
      <x:c r="E300" s="10" t="str">
        <x:v>SRC-044</x:v>
      </x:c>
      <x:c r="F300" s="10" t="str">
        <x:v>SYNTHETIQUE</x:v>
      </x:c>
    </x:row>
    <x:row r="301" ht="28" customHeight="1">
      <x:c r="A301" s="11" t="str">
        <x:v>REL-296</x:v>
      </x:c>
      <x:c r="B301" s="11" t="str">
        <x:v>ACT-015</x:v>
      </x:c>
      <x:c r="C301" s="11" t="str">
        <x:v>CONTAINS</x:v>
      </x:c>
      <x:c r="D301" s="11" t="str">
        <x:v>DEC-015</x:v>
      </x:c>
      <x:c r="E301" s="11" t="str">
        <x:v>SRC-044</x:v>
      </x:c>
      <x:c r="F301" s="11" t="str">
        <x:v>SYNTHETIQUE</x:v>
      </x:c>
    </x:row>
    <x:row r="302" ht="28" customHeight="1">
      <x:c r="A302" s="10" t="str">
        <x:v>REL-297</x:v>
      </x:c>
      <x:c r="B302" s="10" t="str">
        <x:v>PER-008</x:v>
      </x:c>
      <x:c r="C302" s="10" t="str">
        <x:v>PERFORMS</x:v>
      </x:c>
      <x:c r="D302" s="10" t="str">
        <x:v>ACT-016</x:v>
      </x:c>
      <x:c r="E302" s="10" t="str">
        <x:v>SRC-044</x:v>
      </x:c>
      <x:c r="F302" s="10" t="str">
        <x:v>SYNTHETIQUE</x:v>
      </x:c>
    </x:row>
    <x:row r="303" ht="28" customHeight="1">
      <x:c r="A303" s="11" t="str">
        <x:v>REL-298</x:v>
      </x:c>
      <x:c r="B303" s="11" t="str">
        <x:v>ACT-016</x:v>
      </x:c>
      <x:c r="C303" s="11" t="str">
        <x:v>CONTAINS</x:v>
      </x:c>
      <x:c r="D303" s="11" t="str">
        <x:v>DEC-016</x:v>
      </x:c>
      <x:c r="E303" s="11" t="str">
        <x:v>SRC-044</x:v>
      </x:c>
      <x:c r="F303" s="11" t="str">
        <x:v>SYNTHETIQUE</x:v>
      </x:c>
    </x:row>
    <x:row r="304" ht="28" customHeight="1">
      <x:c r="A304" s="10" t="str">
        <x:v>REL-299</x:v>
      </x:c>
      <x:c r="B304" s="10" t="str">
        <x:v>PER-009</x:v>
      </x:c>
      <x:c r="C304" s="10" t="str">
        <x:v>PERFORMS</x:v>
      </x:c>
      <x:c r="D304" s="10" t="str">
        <x:v>ACT-017</x:v>
      </x:c>
      <x:c r="E304" s="10" t="str">
        <x:v>SRC-049</x:v>
      </x:c>
      <x:c r="F304" s="10" t="str">
        <x:v>SYNTHETIQUE</x:v>
      </x:c>
    </x:row>
    <x:row r="305" ht="28" customHeight="1">
      <x:c r="A305" s="11" t="str">
        <x:v>REL-300</x:v>
      </x:c>
      <x:c r="B305" s="11" t="str">
        <x:v>ACT-017</x:v>
      </x:c>
      <x:c r="C305" s="11" t="str">
        <x:v>CONTAINS</x:v>
      </x:c>
      <x:c r="D305" s="11" t="str">
        <x:v>DEC-017</x:v>
      </x:c>
      <x:c r="E305" s="11" t="str">
        <x:v>SRC-049</x:v>
      </x:c>
      <x:c r="F305" s="11" t="str">
        <x:v>SYNTHETIQUE</x:v>
      </x:c>
    </x:row>
    <x:row r="306" ht="28" customHeight="1">
      <x:c r="A306" s="10" t="str">
        <x:v>REL-301</x:v>
      </x:c>
      <x:c r="B306" s="10" t="str">
        <x:v>PER-009</x:v>
      </x:c>
      <x:c r="C306" s="10" t="str">
        <x:v>PERFORMS</x:v>
      </x:c>
      <x:c r="D306" s="10" t="str">
        <x:v>ACT-018</x:v>
      </x:c>
      <x:c r="E306" s="10" t="str">
        <x:v>SRC-049</x:v>
      </x:c>
      <x:c r="F306" s="10" t="str">
        <x:v>SYNTHETIQUE</x:v>
      </x:c>
    </x:row>
    <x:row r="307" ht="28" customHeight="1">
      <x:c r="A307" s="11" t="str">
        <x:v>REL-302</x:v>
      </x:c>
      <x:c r="B307" s="11" t="str">
        <x:v>ACT-018</x:v>
      </x:c>
      <x:c r="C307" s="11" t="str">
        <x:v>CONTAINS</x:v>
      </x:c>
      <x:c r="D307" s="11" t="str">
        <x:v>DEC-018</x:v>
      </x:c>
      <x:c r="E307" s="11" t="str">
        <x:v>SRC-049</x:v>
      </x:c>
      <x:c r="F307" s="11" t="str">
        <x:v>SYNTHETIQUE</x:v>
      </x:c>
    </x:row>
    <x:row r="308" ht="28" customHeight="1">
      <x:c r="A308" s="10" t="str">
        <x:v>REL-303</x:v>
      </x:c>
      <x:c r="B308" s="10" t="str">
        <x:v>PER-010</x:v>
      </x:c>
      <x:c r="C308" s="10" t="str">
        <x:v>PERFORMS</x:v>
      </x:c>
      <x:c r="D308" s="10" t="str">
        <x:v>ACT-019</x:v>
      </x:c>
      <x:c r="E308" s="10" t="str">
        <x:v>SRC-054</x:v>
      </x:c>
      <x:c r="F308" s="10" t="str">
        <x:v>SYNTHETIQUE</x:v>
      </x:c>
    </x:row>
    <x:row r="309" ht="28" customHeight="1">
      <x:c r="A309" s="11" t="str">
        <x:v>REL-304</x:v>
      </x:c>
      <x:c r="B309" s="11" t="str">
        <x:v>ACT-019</x:v>
      </x:c>
      <x:c r="C309" s="11" t="str">
        <x:v>CONTAINS</x:v>
      </x:c>
      <x:c r="D309" s="11" t="str">
        <x:v>DEC-019</x:v>
      </x:c>
      <x:c r="E309" s="11" t="str">
        <x:v>SRC-054</x:v>
      </x:c>
      <x:c r="F309" s="11" t="str">
        <x:v>SYNTHETIQUE</x:v>
      </x:c>
    </x:row>
    <x:row r="310" ht="28" customHeight="1">
      <x:c r="A310" s="10" t="str">
        <x:v>REL-305</x:v>
      </x:c>
      <x:c r="B310" s="10" t="str">
        <x:v>PER-010</x:v>
      </x:c>
      <x:c r="C310" s="10" t="str">
        <x:v>PERFORMS</x:v>
      </x:c>
      <x:c r="D310" s="10" t="str">
        <x:v>ACT-020</x:v>
      </x:c>
      <x:c r="E310" s="10" t="str">
        <x:v>SRC-054</x:v>
      </x:c>
      <x:c r="F310" s="10" t="str">
        <x:v>SYNTHETIQUE</x:v>
      </x:c>
    </x:row>
    <x:row r="311" ht="28" customHeight="1">
      <x:c r="A311" s="11" t="str">
        <x:v>REL-306</x:v>
      </x:c>
      <x:c r="B311" s="11" t="str">
        <x:v>ACT-020</x:v>
      </x:c>
      <x:c r="C311" s="11" t="str">
        <x:v>CONTAINS</x:v>
      </x:c>
      <x:c r="D311" s="11" t="str">
        <x:v>DEC-020</x:v>
      </x:c>
      <x:c r="E311" s="11" t="str">
        <x:v>SRC-054</x:v>
      </x:c>
      <x:c r="F311" s="11" t="str">
        <x:v>SYNTHETIQUE</x:v>
      </x:c>
    </x:row>
    <x:row r="312" ht="28" customHeight="1">
      <x:c r="A312" s="10" t="str">
        <x:v>REL-307</x:v>
      </x:c>
      <x:c r="B312" s="10" t="str">
        <x:v>PER-011</x:v>
      </x:c>
      <x:c r="C312" s="10" t="str">
        <x:v>PERFORMS</x:v>
      </x:c>
      <x:c r="D312" s="10" t="str">
        <x:v>ACT-021</x:v>
      </x:c>
      <x:c r="E312" s="10" t="str">
        <x:v>SRC-058</x:v>
      </x:c>
      <x:c r="F312" s="10" t="str">
        <x:v>SYNTHETIQUE</x:v>
      </x:c>
    </x:row>
    <x:row r="313" ht="28" customHeight="1">
      <x:c r="A313" s="11" t="str">
        <x:v>REL-308</x:v>
      </x:c>
      <x:c r="B313" s="11" t="str">
        <x:v>ACT-021</x:v>
      </x:c>
      <x:c r="C313" s="11" t="str">
        <x:v>CONTAINS</x:v>
      </x:c>
      <x:c r="D313" s="11" t="str">
        <x:v>DEC-021</x:v>
      </x:c>
      <x:c r="E313" s="11" t="str">
        <x:v>SRC-058</x:v>
      </x:c>
      <x:c r="F313" s="11" t="str">
        <x:v>SYNTHETIQUE</x:v>
      </x:c>
    </x:row>
    <x:row r="314" ht="28" customHeight="1">
      <x:c r="A314" s="10" t="str">
        <x:v>REL-309</x:v>
      </x:c>
      <x:c r="B314" s="10" t="str">
        <x:v>PER-011</x:v>
      </x:c>
      <x:c r="C314" s="10" t="str">
        <x:v>PERFORMS</x:v>
      </x:c>
      <x:c r="D314" s="10" t="str">
        <x:v>ACT-022</x:v>
      </x:c>
      <x:c r="E314" s="10" t="str">
        <x:v>SRC-058</x:v>
      </x:c>
      <x:c r="F314" s="10" t="str">
        <x:v>SYNTHETIQUE</x:v>
      </x:c>
    </x:row>
    <x:row r="315" ht="28" customHeight="1">
      <x:c r="A315" s="11" t="str">
        <x:v>REL-310</x:v>
      </x:c>
      <x:c r="B315" s="11" t="str">
        <x:v>ACT-022</x:v>
      </x:c>
      <x:c r="C315" s="11" t="str">
        <x:v>CONTAINS</x:v>
      </x:c>
      <x:c r="D315" s="11" t="str">
        <x:v>DEC-022</x:v>
      </x:c>
      <x:c r="E315" s="11" t="str">
        <x:v>SRC-058</x:v>
      </x:c>
      <x:c r="F315" s="11" t="str">
        <x:v>SYNTHETIQUE</x:v>
      </x:c>
    </x:row>
    <x:row r="316" ht="28" customHeight="1">
      <x:c r="A316" s="10" t="str">
        <x:v>REL-311</x:v>
      </x:c>
      <x:c r="B316" s="10" t="str">
        <x:v>PER-012</x:v>
      </x:c>
      <x:c r="C316" s="10" t="str">
        <x:v>PERFORMS</x:v>
      </x:c>
      <x:c r="D316" s="10" t="str">
        <x:v>ACT-023</x:v>
      </x:c>
      <x:c r="E316" s="10" t="str">
        <x:v>SRC-063</x:v>
      </x:c>
      <x:c r="F316" s="10" t="str">
        <x:v>SYNTHETIQUE</x:v>
      </x:c>
    </x:row>
    <x:row r="317" ht="28" customHeight="1">
      <x:c r="A317" s="11" t="str">
        <x:v>REL-312</x:v>
      </x:c>
      <x:c r="B317" s="11" t="str">
        <x:v>ACT-023</x:v>
      </x:c>
      <x:c r="C317" s="11" t="str">
        <x:v>CONTAINS</x:v>
      </x:c>
      <x:c r="D317" s="11" t="str">
        <x:v>DEC-023</x:v>
      </x:c>
      <x:c r="E317" s="11" t="str">
        <x:v>SRC-063</x:v>
      </x:c>
      <x:c r="F317" s="11" t="str">
        <x:v>SYNTHETIQUE</x:v>
      </x:c>
    </x:row>
    <x:row r="318" ht="28" customHeight="1">
      <x:c r="A318" s="10" t="str">
        <x:v>REL-313</x:v>
      </x:c>
      <x:c r="B318" s="10" t="str">
        <x:v>PER-012</x:v>
      </x:c>
      <x:c r="C318" s="10" t="str">
        <x:v>PERFORMS</x:v>
      </x:c>
      <x:c r="D318" s="10" t="str">
        <x:v>ACT-024</x:v>
      </x:c>
      <x:c r="E318" s="10" t="str">
        <x:v>SRC-063</x:v>
      </x:c>
      <x:c r="F318" s="10" t="str">
        <x:v>SYNTHETIQUE</x:v>
      </x:c>
    </x:row>
    <x:row r="319" ht="28" customHeight="1">
      <x:c r="A319" s="11" t="str">
        <x:v>REL-314</x:v>
      </x:c>
      <x:c r="B319" s="11" t="str">
        <x:v>ACT-024</x:v>
      </x:c>
      <x:c r="C319" s="11" t="str">
        <x:v>CONTAINS</x:v>
      </x:c>
      <x:c r="D319" s="11" t="str">
        <x:v>DEC-024</x:v>
      </x:c>
      <x:c r="E319" s="11" t="str">
        <x:v>SRC-063</x:v>
      </x:c>
      <x:c r="F319" s="11" t="str">
        <x:v>SYNTHETIQUE</x:v>
      </x:c>
    </x:row>
    <x:row r="320" ht="28" customHeight="1">
      <x:c r="A320" s="10" t="str">
        <x:v>REL-315</x:v>
      </x:c>
      <x:c r="B320" s="10" t="str">
        <x:v>PER-013</x:v>
      </x:c>
      <x:c r="C320" s="10" t="str">
        <x:v>PERFORMS</x:v>
      </x:c>
      <x:c r="D320" s="10" t="str">
        <x:v>ACT-025</x:v>
      </x:c>
      <x:c r="E320" s="10" t="str">
        <x:v>SRC-068</x:v>
      </x:c>
      <x:c r="F320" s="10" t="str">
        <x:v>SYNTHETIQUE</x:v>
      </x:c>
    </x:row>
    <x:row r="321" ht="28" customHeight="1">
      <x:c r="A321" s="11" t="str">
        <x:v>REL-316</x:v>
      </x:c>
      <x:c r="B321" s="11" t="str">
        <x:v>ACT-025</x:v>
      </x:c>
      <x:c r="C321" s="11" t="str">
        <x:v>CONTAINS</x:v>
      </x:c>
      <x:c r="D321" s="11" t="str">
        <x:v>DEC-025</x:v>
      </x:c>
      <x:c r="E321" s="11" t="str">
        <x:v>SRC-068</x:v>
      </x:c>
      <x:c r="F321" s="11" t="str">
        <x:v>SYNTHETIQUE</x:v>
      </x:c>
    </x:row>
    <x:row r="322" ht="28" customHeight="1">
      <x:c r="A322" s="10" t="str">
        <x:v>REL-317</x:v>
      </x:c>
      <x:c r="B322" s="10" t="str">
        <x:v>PER-013</x:v>
      </x:c>
      <x:c r="C322" s="10" t="str">
        <x:v>PERFORMS</x:v>
      </x:c>
      <x:c r="D322" s="10" t="str">
        <x:v>ACT-026</x:v>
      </x:c>
      <x:c r="E322" s="10" t="str">
        <x:v>SRC-068</x:v>
      </x:c>
      <x:c r="F322" s="10" t="str">
        <x:v>SYNTHETIQUE</x:v>
      </x:c>
    </x:row>
    <x:row r="323" ht="28" customHeight="1">
      <x:c r="A323" s="11" t="str">
        <x:v>REL-318</x:v>
      </x:c>
      <x:c r="B323" s="11" t="str">
        <x:v>ACT-026</x:v>
      </x:c>
      <x:c r="C323" s="11" t="str">
        <x:v>CONTAINS</x:v>
      </x:c>
      <x:c r="D323" s="11" t="str">
        <x:v>DEC-026</x:v>
      </x:c>
      <x:c r="E323" s="11" t="str">
        <x:v>SRC-068</x:v>
      </x:c>
      <x:c r="F323" s="11" t="str">
        <x:v>SYNTHETIQUE</x:v>
      </x:c>
    </x:row>
    <x:row r="324" ht="28" customHeight="1">
      <x:c r="A324" s="10" t="str">
        <x:v>REL-319</x:v>
      </x:c>
      <x:c r="B324" s="10" t="str">
        <x:v>PER-014</x:v>
      </x:c>
      <x:c r="C324" s="10" t="str">
        <x:v>PERFORMS</x:v>
      </x:c>
      <x:c r="D324" s="10" t="str">
        <x:v>ACT-027</x:v>
      </x:c>
      <x:c r="E324" s="10" t="str">
        <x:v>SRC-074</x:v>
      </x:c>
      <x:c r="F324" s="10" t="str">
        <x:v>SYNTHETIQUE</x:v>
      </x:c>
    </x:row>
    <x:row r="325" ht="28" customHeight="1">
      <x:c r="A325" s="11" t="str">
        <x:v>REL-320</x:v>
      </x:c>
      <x:c r="B325" s="11" t="str">
        <x:v>ACT-027</x:v>
      </x:c>
      <x:c r="C325" s="11" t="str">
        <x:v>CONTAINS</x:v>
      </x:c>
      <x:c r="D325" s="11" t="str">
        <x:v>DEC-027</x:v>
      </x:c>
      <x:c r="E325" s="11" t="str">
        <x:v>SRC-074</x:v>
      </x:c>
      <x:c r="F325" s="11" t="str">
        <x:v>SYNTHETIQUE</x:v>
      </x:c>
    </x:row>
    <x:row r="326" ht="28" customHeight="1">
      <x:c r="A326" s="10" t="str">
        <x:v>REL-321</x:v>
      </x:c>
      <x:c r="B326" s="10" t="str">
        <x:v>PER-014</x:v>
      </x:c>
      <x:c r="C326" s="10" t="str">
        <x:v>PERFORMS</x:v>
      </x:c>
      <x:c r="D326" s="10" t="str">
        <x:v>ACT-028</x:v>
      </x:c>
      <x:c r="E326" s="10" t="str">
        <x:v>SRC-074</x:v>
      </x:c>
      <x:c r="F326" s="10" t="str">
        <x:v>SYNTHETIQUE</x:v>
      </x:c>
    </x:row>
    <x:row r="327" ht="28" customHeight="1">
      <x:c r="A327" s="11" t="str">
        <x:v>REL-322</x:v>
      </x:c>
      <x:c r="B327" s="11" t="str">
        <x:v>ACT-028</x:v>
      </x:c>
      <x:c r="C327" s="11" t="str">
        <x:v>CONTAINS</x:v>
      </x:c>
      <x:c r="D327" s="11" t="str">
        <x:v>DEC-028</x:v>
      </x:c>
      <x:c r="E327" s="11" t="str">
        <x:v>SRC-074</x:v>
      </x:c>
      <x:c r="F327" s="11" t="str">
        <x:v>SYNTHETIQUE</x:v>
      </x:c>
    </x:row>
    <x:row r="328" ht="28" customHeight="1">
      <x:c r="A328" s="10" t="str">
        <x:v>REL-323</x:v>
      </x:c>
      <x:c r="B328" s="10" t="str">
        <x:v>PER-015</x:v>
      </x:c>
      <x:c r="C328" s="10" t="str">
        <x:v>PERFORMS</x:v>
      </x:c>
      <x:c r="D328" s="10" t="str">
        <x:v>ACT-029</x:v>
      </x:c>
      <x:c r="E328" s="10" t="str">
        <x:v>SRC-080</x:v>
      </x:c>
      <x:c r="F328" s="10" t="str">
        <x:v>SYNTHETIQUE</x:v>
      </x:c>
    </x:row>
    <x:row r="329" ht="28" customHeight="1">
      <x:c r="A329" s="11" t="str">
        <x:v>REL-324</x:v>
      </x:c>
      <x:c r="B329" s="11" t="str">
        <x:v>ACT-029</x:v>
      </x:c>
      <x:c r="C329" s="11" t="str">
        <x:v>CONTAINS</x:v>
      </x:c>
      <x:c r="D329" s="11" t="str">
        <x:v>DEC-029</x:v>
      </x:c>
      <x:c r="E329" s="11" t="str">
        <x:v>SRC-080</x:v>
      </x:c>
      <x:c r="F329" s="11" t="str">
        <x:v>SYNTHETIQUE</x:v>
      </x:c>
    </x:row>
    <x:row r="330" ht="28" customHeight="1">
      <x:c r="A330" s="10" t="str">
        <x:v>REL-325</x:v>
      </x:c>
      <x:c r="B330" s="10" t="str">
        <x:v>PER-015</x:v>
      </x:c>
      <x:c r="C330" s="10" t="str">
        <x:v>PERFORMS</x:v>
      </x:c>
      <x:c r="D330" s="10" t="str">
        <x:v>ACT-030</x:v>
      </x:c>
      <x:c r="E330" s="10" t="str">
        <x:v>SRC-080</x:v>
      </x:c>
      <x:c r="F330" s="10" t="str">
        <x:v>SYNTHETIQUE</x:v>
      </x:c>
    </x:row>
    <x:row r="331" ht="28" customHeight="1">
      <x:c r="A331" s="11" t="str">
        <x:v>REL-326</x:v>
      </x:c>
      <x:c r="B331" s="11" t="str">
        <x:v>ACT-030</x:v>
      </x:c>
      <x:c r="C331" s="11" t="str">
        <x:v>CONTAINS</x:v>
      </x:c>
      <x:c r="D331" s="11" t="str">
        <x:v>DEC-030</x:v>
      </x:c>
      <x:c r="E331" s="11" t="str">
        <x:v>SRC-080</x:v>
      </x:c>
      <x:c r="F331" s="11" t="str">
        <x:v>SYNTHETIQUE</x:v>
      </x:c>
    </x:row>
    <x:row r="332" ht="28" customHeight="1">
      <x:c r="A332" s="10" t="str">
        <x:v>REL-327</x:v>
      </x:c>
      <x:c r="B332" s="10" t="str">
        <x:v>PER-016</x:v>
      </x:c>
      <x:c r="C332" s="10" t="str">
        <x:v>PERFORMS</x:v>
      </x:c>
      <x:c r="D332" s="10" t="str">
        <x:v>ACT-031</x:v>
      </x:c>
      <x:c r="E332" s="10" t="str">
        <x:v>SRC-085</x:v>
      </x:c>
      <x:c r="F332" s="10" t="str">
        <x:v>SYNTHETIQUE</x:v>
      </x:c>
    </x:row>
    <x:row r="333" ht="28" customHeight="1">
      <x:c r="A333" s="11" t="str">
        <x:v>REL-328</x:v>
      </x:c>
      <x:c r="B333" s="11" t="str">
        <x:v>ACT-031</x:v>
      </x:c>
      <x:c r="C333" s="11" t="str">
        <x:v>CONTAINS</x:v>
      </x:c>
      <x:c r="D333" s="11" t="str">
        <x:v>DEC-031</x:v>
      </x:c>
      <x:c r="E333" s="11" t="str">
        <x:v>SRC-085</x:v>
      </x:c>
      <x:c r="F333" s="11" t="str">
        <x:v>SYNTHETIQUE</x:v>
      </x:c>
    </x:row>
    <x:row r="334" ht="28" customHeight="1">
      <x:c r="A334" s="10" t="str">
        <x:v>REL-329</x:v>
      </x:c>
      <x:c r="B334" s="10" t="str">
        <x:v>PER-016</x:v>
      </x:c>
      <x:c r="C334" s="10" t="str">
        <x:v>PERFORMS</x:v>
      </x:c>
      <x:c r="D334" s="10" t="str">
        <x:v>ACT-032</x:v>
      </x:c>
      <x:c r="E334" s="10" t="str">
        <x:v>SRC-085</x:v>
      </x:c>
      <x:c r="F334" s="10" t="str">
        <x:v>SYNTHETIQUE</x:v>
      </x:c>
    </x:row>
    <x:row r="335" ht="28" customHeight="1">
      <x:c r="A335" s="11" t="str">
        <x:v>REL-330</x:v>
      </x:c>
      <x:c r="B335" s="11" t="str">
        <x:v>ACT-032</x:v>
      </x:c>
      <x:c r="C335" s="11" t="str">
        <x:v>CONTAINS</x:v>
      </x:c>
      <x:c r="D335" s="11" t="str">
        <x:v>DEC-032</x:v>
      </x:c>
      <x:c r="E335" s="11" t="str">
        <x:v>SRC-085</x:v>
      </x:c>
      <x:c r="F335" s="11" t="str">
        <x:v>SYNTHETIQUE</x:v>
      </x:c>
    </x:row>
    <x:row r="336" ht="28" customHeight="1">
      <x:c r="A336" s="10" t="str">
        <x:v>REL-331</x:v>
      </x:c>
      <x:c r="B336" s="10" t="str">
        <x:v>PER-017</x:v>
      </x:c>
      <x:c r="C336" s="10" t="str">
        <x:v>PERFORMS</x:v>
      </x:c>
      <x:c r="D336" s="10" t="str">
        <x:v>ACT-033</x:v>
      </x:c>
      <x:c r="E336" s="10" t="str">
        <x:v>SRC-092</x:v>
      </x:c>
      <x:c r="F336" s="10" t="str">
        <x:v>SYNTHETIQUE</x:v>
      </x:c>
    </x:row>
    <x:row r="337" ht="28" customHeight="1">
      <x:c r="A337" s="11" t="str">
        <x:v>REL-332</x:v>
      </x:c>
      <x:c r="B337" s="11" t="str">
        <x:v>ACT-033</x:v>
      </x:c>
      <x:c r="C337" s="11" t="str">
        <x:v>CONTAINS</x:v>
      </x:c>
      <x:c r="D337" s="11" t="str">
        <x:v>DEC-033</x:v>
      </x:c>
      <x:c r="E337" s="11" t="str">
        <x:v>SRC-092</x:v>
      </x:c>
      <x:c r="F337" s="11" t="str">
        <x:v>SYNTHETIQUE</x:v>
      </x:c>
    </x:row>
    <x:row r="338" ht="28" customHeight="1">
      <x:c r="A338" s="10" t="str">
        <x:v>REL-333</x:v>
      </x:c>
      <x:c r="B338" s="10" t="str">
        <x:v>PER-017</x:v>
      </x:c>
      <x:c r="C338" s="10" t="str">
        <x:v>PERFORMS</x:v>
      </x:c>
      <x:c r="D338" s="10" t="str">
        <x:v>ACT-034</x:v>
      </x:c>
      <x:c r="E338" s="10" t="str">
        <x:v>SRC-092</x:v>
      </x:c>
      <x:c r="F338" s="10" t="str">
        <x:v>SYNTHETIQUE</x:v>
      </x:c>
    </x:row>
    <x:row r="339" ht="28" customHeight="1">
      <x:c r="A339" s="11" t="str">
        <x:v>REL-334</x:v>
      </x:c>
      <x:c r="B339" s="11" t="str">
        <x:v>ACT-034</x:v>
      </x:c>
      <x:c r="C339" s="11" t="str">
        <x:v>CONTAINS</x:v>
      </x:c>
      <x:c r="D339" s="11" t="str">
        <x:v>DEC-034</x:v>
      </x:c>
      <x:c r="E339" s="11" t="str">
        <x:v>SRC-092</x:v>
      </x:c>
      <x:c r="F339" s="11" t="str">
        <x:v>SYNTHETIQUE</x:v>
      </x:c>
    </x:row>
    <x:row r="340" ht="28" customHeight="1">
      <x:c r="A340" s="10" t="str">
        <x:v>REL-335</x:v>
      </x:c>
      <x:c r="B340" s="10" t="str">
        <x:v>PER-018</x:v>
      </x:c>
      <x:c r="C340" s="10" t="str">
        <x:v>PERFORMS</x:v>
      </x:c>
      <x:c r="D340" s="10" t="str">
        <x:v>ACT-035</x:v>
      </x:c>
      <x:c r="E340" s="10" t="str">
        <x:v>SRC-098</x:v>
      </x:c>
      <x:c r="F340" s="10" t="str">
        <x:v>SYNTHETIQUE</x:v>
      </x:c>
    </x:row>
    <x:row r="341" ht="28" customHeight="1">
      <x:c r="A341" s="11" t="str">
        <x:v>REL-336</x:v>
      </x:c>
      <x:c r="B341" s="11" t="str">
        <x:v>ACT-035</x:v>
      </x:c>
      <x:c r="C341" s="11" t="str">
        <x:v>CONTAINS</x:v>
      </x:c>
      <x:c r="D341" s="11" t="str">
        <x:v>DEC-035</x:v>
      </x:c>
      <x:c r="E341" s="11" t="str">
        <x:v>SRC-098</x:v>
      </x:c>
      <x:c r="F341" s="11" t="str">
        <x:v>SYNTHETIQUE</x:v>
      </x:c>
    </x:row>
    <x:row r="342" ht="28" customHeight="1">
      <x:c r="A342" s="10" t="str">
        <x:v>REL-337</x:v>
      </x:c>
      <x:c r="B342" s="10" t="str">
        <x:v>PER-018</x:v>
      </x:c>
      <x:c r="C342" s="10" t="str">
        <x:v>PERFORMS</x:v>
      </x:c>
      <x:c r="D342" s="10" t="str">
        <x:v>ACT-036</x:v>
      </x:c>
      <x:c r="E342" s="10" t="str">
        <x:v>SRC-098</x:v>
      </x:c>
      <x:c r="F342" s="10" t="str">
        <x:v>SYNTHETIQUE</x:v>
      </x:c>
    </x:row>
    <x:row r="343" ht="28" customHeight="1">
      <x:c r="A343" s="11" t="str">
        <x:v>REL-338</x:v>
      </x:c>
      <x:c r="B343" s="11" t="str">
        <x:v>ACT-036</x:v>
      </x:c>
      <x:c r="C343" s="11" t="str">
        <x:v>CONTAINS</x:v>
      </x:c>
      <x:c r="D343" s="11" t="str">
        <x:v>DEC-036</x:v>
      </x:c>
      <x:c r="E343" s="11" t="str">
        <x:v>SRC-098</x:v>
      </x:c>
      <x:c r="F343" s="11" t="str">
        <x:v>SYNTHETIQUE</x:v>
      </x:c>
    </x:row>
    <x:row r="344" ht="28" customHeight="1">
      <x:c r="A344" s="10" t="str">
        <x:v>REL-339</x:v>
      </x:c>
      <x:c r="B344" s="10" t="str">
        <x:v>PER-019</x:v>
      </x:c>
      <x:c r="C344" s="10" t="str">
        <x:v>PERFORMS</x:v>
      </x:c>
      <x:c r="D344" s="10" t="str">
        <x:v>ACT-037</x:v>
      </x:c>
      <x:c r="E344" s="10" t="str">
        <x:v>SRC-106</x:v>
      </x:c>
      <x:c r="F344" s="10" t="str">
        <x:v>SYNTHETIQUE</x:v>
      </x:c>
    </x:row>
    <x:row r="345" ht="28" customHeight="1">
      <x:c r="A345" s="11" t="str">
        <x:v>REL-340</x:v>
      </x:c>
      <x:c r="B345" s="11" t="str">
        <x:v>ACT-037</x:v>
      </x:c>
      <x:c r="C345" s="11" t="str">
        <x:v>CONTAINS</x:v>
      </x:c>
      <x:c r="D345" s="11" t="str">
        <x:v>DEC-037</x:v>
      </x:c>
      <x:c r="E345" s="11" t="str">
        <x:v>SRC-106</x:v>
      </x:c>
      <x:c r="F345" s="11" t="str">
        <x:v>SYNTHETIQUE</x:v>
      </x:c>
    </x:row>
    <x:row r="346" ht="28" customHeight="1">
      <x:c r="A346" s="10" t="str">
        <x:v>REL-341</x:v>
      </x:c>
      <x:c r="B346" s="10" t="str">
        <x:v>PER-019</x:v>
      </x:c>
      <x:c r="C346" s="10" t="str">
        <x:v>PERFORMS</x:v>
      </x:c>
      <x:c r="D346" s="10" t="str">
        <x:v>ACT-038</x:v>
      </x:c>
      <x:c r="E346" s="10" t="str">
        <x:v>SRC-106</x:v>
      </x:c>
      <x:c r="F346" s="10" t="str">
        <x:v>SYNTHETIQUE</x:v>
      </x:c>
    </x:row>
    <x:row r="347" ht="28" customHeight="1">
      <x:c r="A347" s="11" t="str">
        <x:v>REL-342</x:v>
      </x:c>
      <x:c r="B347" s="11" t="str">
        <x:v>ACT-038</x:v>
      </x:c>
      <x:c r="C347" s="11" t="str">
        <x:v>CONTAINS</x:v>
      </x:c>
      <x:c r="D347" s="11" t="str">
        <x:v>DEC-038</x:v>
      </x:c>
      <x:c r="E347" s="11" t="str">
        <x:v>SRC-106</x:v>
      </x:c>
      <x:c r="F347" s="11" t="str">
        <x:v>SYNTHETIQUE</x:v>
      </x:c>
    </x:row>
    <x:row r="348" ht="28" customHeight="1">
      <x:c r="A348" s="10" t="str">
        <x:v>REL-343</x:v>
      </x:c>
      <x:c r="B348" s="10" t="str">
        <x:v>PER-020</x:v>
      </x:c>
      <x:c r="C348" s="10" t="str">
        <x:v>PERFORMS</x:v>
      </x:c>
      <x:c r="D348" s="10" t="str">
        <x:v>ACT-039</x:v>
      </x:c>
      <x:c r="E348" s="10" t="str">
        <x:v>SRC-112</x:v>
      </x:c>
      <x:c r="F348" s="10" t="str">
        <x:v>SYNTHETIQUE</x:v>
      </x:c>
    </x:row>
    <x:row r="349" ht="28" customHeight="1">
      <x:c r="A349" s="11" t="str">
        <x:v>REL-344</x:v>
      </x:c>
      <x:c r="B349" s="11" t="str">
        <x:v>ACT-039</x:v>
      </x:c>
      <x:c r="C349" s="11" t="str">
        <x:v>CONTAINS</x:v>
      </x:c>
      <x:c r="D349" s="11" t="str">
        <x:v>DEC-039</x:v>
      </x:c>
      <x:c r="E349" s="11" t="str">
        <x:v>SRC-112</x:v>
      </x:c>
      <x:c r="F349" s="11" t="str">
        <x:v>SYNTHETIQUE</x:v>
      </x:c>
    </x:row>
    <x:row r="350" ht="28" customHeight="1">
      <x:c r="A350" s="10" t="str">
        <x:v>REL-345</x:v>
      </x:c>
      <x:c r="B350" s="10" t="str">
        <x:v>PER-020</x:v>
      </x:c>
      <x:c r="C350" s="10" t="str">
        <x:v>PERFORMS</x:v>
      </x:c>
      <x:c r="D350" s="10" t="str">
        <x:v>ACT-040</x:v>
      </x:c>
      <x:c r="E350" s="10" t="str">
        <x:v>SRC-112</x:v>
      </x:c>
      <x:c r="F350" s="10" t="str">
        <x:v>SYNTHETIQUE</x:v>
      </x:c>
    </x:row>
    <x:row r="351" ht="28" customHeight="1">
      <x:c r="A351" s="11" t="str">
        <x:v>REL-346</x:v>
      </x:c>
      <x:c r="B351" s="11" t="str">
        <x:v>ACT-040</x:v>
      </x:c>
      <x:c r="C351" s="11" t="str">
        <x:v>CONTAINS</x:v>
      </x:c>
      <x:c r="D351" s="11" t="str">
        <x:v>DEC-040</x:v>
      </x:c>
      <x:c r="E351" s="11" t="str">
        <x:v>SRC-112</x:v>
      </x:c>
      <x:c r="F351" s="11" t="str">
        <x:v>SYNTHETIQUE</x:v>
      </x:c>
    </x:row>
  </x:sheetData>
  <x:pageMargins left="0.7" right="0.7" top="0.75" bottom="0.75" header="0.3" footer="0.3"/>
  <x:tableParts count="1">
    <x:tablePart xmlns:r="http://schemas.openxmlformats.org/officeDocument/2006/relationships" r:id="Rd6d2ea1ebbcb4419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38" hidden="0" customWidth="1"/>
    <x:col min="3" max="3" width="30" hidden="0" customWidth="1"/>
    <x:col min="4" max="4" width="76" hidden="0" customWidth="1"/>
    <x:col min="5" max="5" width="80" hidden="0" customWidth="1"/>
    <x:col min="6" max="6" width="53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3" t="str">
        <x:v>Résultats attendus</x:v>
      </x:c>
      <x:c r="B2" s="2"/>
      <x:c r="C2" s="2"/>
      <x:c r="D2" s="2"/>
      <x:c r="E2" s="2"/>
      <x:c r="F2" s="2"/>
    </x:row>
    <x:row r="3">
      <x:c r="A3" s="4" t="str">
        <x:v>DONNÉES SYNTHÉTIQUES — Assureur Démo France — août 2026 / état au 20 septembre 2026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42" customHeight="1">
      <x:c r="A5" s="8" t="str">
        <x:v>Test</x:v>
      </x:c>
      <x:c r="B5" s="8" t="str">
        <x:v>Constat attendu</x:v>
      </x:c>
      <x:c r="C5" s="8" t="str">
        <x:v>Objets concernés</x:v>
      </x:c>
      <x:c r="D5" s="8" t="str">
        <x:v>Résultat de référence</x:v>
      </x:c>
      <x:c r="E5" s="8" t="str">
        <x:v>Action suggérée</x:v>
      </x:c>
      <x:c r="F5" s="8" t="str">
        <x:v>Sources</x:v>
      </x:c>
    </x:row>
    <x:row r="6" ht="28" customHeight="1">
      <x:c r="A6" s="10" t="str">
        <x:v>T-01</x:v>
      </x:c>
      <x:c r="B6" s="10" t="str">
        <x:v>Licence peu utilisée</x:v>
      </x:c>
      <x:c r="C6" s="10" t="str">
        <x:v>AI-006</x:v>
      </x:c>
      <x:c r="D6" s="10" t="str">
        <x:v>210 actifs sur 600 licences = 35 %</x:v>
      </x:c>
      <x:c r="E6" s="10" t="str">
        <x:v>Adoption et besoin de formation à examiner</x:v>
      </x:c>
      <x:c r="F6" s="10" t="str">
        <x:v>SRC-074;SRC-100</x:v>
      </x:c>
    </x:row>
    <x:row r="7" ht="28" customHeight="1">
      <x:c r="A7" s="11" t="str">
        <x:v>T-02</x:v>
      </x:c>
      <x:c r="B7" s="11" t="str">
        <x:v>Dépassement de délégation</x:v>
      </x:c>
      <x:c r="C7" s="11" t="str">
        <x:v>AI-002</x:v>
      </x:c>
      <x:c r="D7" s="11" t="str">
        <x:v>D4 observé, D2 autorisé; 12 paiements test sans validation</x:v>
      </x:c>
      <x:c r="E7" s="11" t="str">
        <x:v>Retirer le scope de paiement et rétablir la validation</x:v>
      </x:c>
      <x:c r="F7" s="11" t="str">
        <x:v>SRC-036;SRC-087;SRC-103;SRC-106</x:v>
      </x:c>
    </x:row>
    <x:row r="8" ht="28" customHeight="1">
      <x:c r="A8" s="10" t="str">
        <x:v>T-03</x:v>
      </x:c>
      <x:c r="B8" s="10" t="str">
        <x:v>Recouvrement fonctionnel</x:v>
      </x:c>
      <x:c r="C8" s="10" t="str">
        <x:v>AI-003;AI-004</x:v>
      </x:c>
      <x:c r="D8" s="10" t="str">
        <x:v>Deux assistants pour ACT-005; coût combiné 12000 EUR/mois</x:v>
      </x:c>
      <x:c r="E8" s="10" t="str">
        <x:v>Comparer usages et couverture; ne pas supprimer automatiquement</x:v>
      </x:c>
      <x:c r="F8" s="10" t="str">
        <x:v>SRC-098;SRC-099;SRC-075</x:v>
      </x:c>
    </x:row>
    <x:row r="9" ht="28" customHeight="1">
      <x:c r="A9" s="11" t="str">
        <x:v>T-04</x:v>
      </x:c>
      <x:c r="B9" s="11" t="str">
        <x:v>Temps libéré sans économie</x:v>
      </x:c>
      <x:c r="C9" s="11" t="str">
        <x:v>AI-001</x:v>
      </x:c>
      <x:c r="D9" s="11" t="str">
        <x:v>180 heures libérées; 0 EUR d’économie budgétaire</x:v>
      </x:c>
      <x:c r="E9" s="11" t="str">
        <x:v>Documenter le redéploiement; ne pas monétiser automatiquement</x:v>
      </x:c>
      <x:c r="F9" s="11" t="str">
        <x:v>SRC-079;SRC-113;SRC-117</x:v>
      </x:c>
    </x:row>
    <x:row r="10" ht="28" customHeight="1">
      <x:c r="A10" s="10" t="str">
        <x:v>T-05</x:v>
      </x:c>
      <x:c r="B10" s="10" t="str">
        <x:v>Données incomplètes</x:v>
      </x:c>
      <x:c r="C10" s="10" t="str">
        <x:v>ACT-011</x:v>
      </x:c>
      <x:c r="D10" s="10" t="str">
        <x:v>540 dossiers sur 3600 = 15 %</x:v>
      </x:c>
      <x:c r="E10" s="10" t="str">
        <x:v>Corriger la qualité et qualifier la fiabilité des délais</x:v>
      </x:c>
      <x:c r="F10" s="10" t="str">
        <x:v>SRC-095;SRC-037</x:v>
      </x:c>
    </x:row>
    <x:row r="11" ht="28" customHeight="1">
      <x:c r="A11" s="11" t="str">
        <x:v>T-06</x:v>
      </x:c>
      <x:c r="B11" s="11" t="str">
        <x:v>Qualité des citations</x:v>
      </x:c>
      <x:c r="C11" s="11" t="str">
        <x:v>AI-001</x:v>
      </x:c>
      <x:c r="D11" s="11" t="str">
        <x:v>18 réponses sur 200 = 9 % sans citation valide</x:v>
      </x:c>
      <x:c r="E11" s="11" t="str">
        <x:v>Renforcer évaluation et vérification</x:v>
      </x:c>
      <x:c r="F11" s="11" t="str">
        <x:v>SRC-104</x:v>
      </x:c>
    </x:row>
    <x:row r="12" ht="28" customHeight="1">
      <x:c r="A12" s="10" t="str">
        <x:v>T-07</x:v>
      </x:c>
      <x:c r="B12" s="10" t="str">
        <x:v>Usage non qualifié</x:v>
      </x:c>
      <x:c r="C12" s="10" t="str">
        <x:v>AI-016</x:v>
      </x:c>
      <x:c r="D12" s="10" t="str">
        <x:v>Usage déclaré; contrat et modèle non confirmés</x:v>
      </x:c>
      <x:c r="E12" s="10" t="str">
        <x:v>Qualifier outil, données et conditions avant généralisation</x:v>
      </x:c>
      <x:c r="F12" s="10" t="str">
        <x:v>SRC-105;SRC-110</x:v>
      </x:c>
    </x:row>
    <x:row r="13" ht="28" customHeight="1">
      <x:c r="A13" s="11" t="str">
        <x:v>T-08</x:v>
      </x:c>
      <x:c r="B13" s="11" t="str">
        <x:v>Qualification incomplète</x:v>
      </x:c>
      <x:c r="C13" s="11" t="str">
        <x:v>AI-008</x:v>
      </x:c>
      <x:c r="D13" s="11" t="str">
        <x:v>Revue juridique non terminée dans le scénario</x:v>
      </x:c>
      <x:c r="E13" s="11" t="str">
        <x:v>Conserver le point ouvert; aucune conformité déduite</x:v>
      </x:c>
      <x:c r="F13" s="11" t="str">
        <x:v>SRC-108</x:v>
      </x:c>
    </x:row>
  </x:sheetData>
  <x:pageMargins left="0.7" right="0.7" top="0.75" bottom="0.75" header="0.3" footer="0.3"/>
  <x:tableParts count="1">
    <x:tablePart xmlns:r="http://schemas.openxmlformats.org/officeDocument/2006/relationships" r:id="R997e795e1a274fd5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25" hidden="0" customWidth="1"/>
  </x:cols>
  <x:sheetData>
    <x:row r="2">
      <x:c r="A2" s="16" t="str">
        <x:v>Contrôles chiffrés du scénario</x:v>
      </x:c>
    </x:row>
    <x:row r="3">
      <x:c r="A3" t="str">
        <x:v>SYNTHÉTIQUE — valeurs recalculées à partir des tables de ce classeur</x:v>
      </x:c>
    </x:row>
    <x:row r="5" ht="32" customHeight="1">
      <x:c r="A5" s="19" t="str">
        <x:v>Indicateur</x:v>
      </x:c>
      <x:c r="B5" s="19" t="str">
        <x:v>Valeur</x:v>
      </x:c>
    </x:row>
    <x:row r="6" ht="32" customHeight="1">
      <x:c r="A6" s="17" t="str">
        <x:v>Sources collectées</x:v>
      </x:c>
      <x:c r="B6" s="24" t="n">
        <x:f>COUNTA('Collecte'!A6:A122)</x:f>
        <x:v>117</x:v>
      </x:c>
    </x:row>
    <x:row r="7" ht="32" customHeight="1">
      <x:c r="A7" s="17" t="str">
        <x:v>Faits source</x:v>
      </x:c>
      <x:c r="B7" s="24" t="n">
        <x:f>COUNTA('Extraits'!A6:A356)</x:f>
        <x:v>351</x:v>
      </x:c>
    </x:row>
    <x:row r="8" ht="32" customHeight="1">
      <x:c r="A8" s="17" t="str">
        <x:v>Effectif ETP du périmètre</x:v>
      </x:c>
      <x:c r="B8" s="24" t="n">
        <x:f>SUM('Organisation'!E6:E25)</x:f>
        <x:v>1200</x:v>
      </x:c>
    </x:row>
    <x:row r="9" ht="32" customHeight="1">
      <x:c r="A9" s="17" t="str">
        <x:v>Coût IA imputé août 2026 (EUR)</x:v>
      </x:c>
      <x:c r="B9" s="20" t="n">
        <x:f>SUM('Coûts'!F6:F117)</x:f>
        <x:v>84580</x:v>
      </x:c>
    </x:row>
    <x:row r="10" ht="32" customHeight="1">
      <x:c r="A10" s="17" t="str">
        <x:v>Adoption Copilote Bureau</x:v>
      </x:c>
      <x:c r="B10" s="21" t="n">
        <x:f>'IA'!K11/'IA'!J11</x:f>
        <x:v>0.35</x:v>
      </x:c>
    </x:row>
    <x:row r="11" ht="32" customHeight="1">
      <x:c r="A11" s="17" t="str">
        <x:v>Coût des deux assistants commerciaux (EUR)</x:v>
      </x:c>
      <x:c r="B11" s="20" t="n">
        <x:f>SUMIFS('Coûts'!F6:F117,'Coûts'!B6:B117,"AI-003")+SUMIFS('Coûts'!F6:F117,'Coûts'!B6:B117,"AI-004")</x:f>
        <x:v>12000</x:v>
      </x:c>
    </x:row>
    <x:row r="12" ht="32" customHeight="1">
      <x:c r="A12" s="17" t="str">
        <x:v>Temps libéré Copilote Sinistres (heures)</x:v>
      </x:c>
      <x:c r="B12" s="24" t="n">
        <x:f>'Mesures'!E7*('Mesures'!E8-'Mesures'!E9)/60</x:f>
        <x:v>180</x:v>
      </x:c>
    </x:row>
    <x:row r="13" ht="32" customHeight="1">
      <x:c r="A13" s="17" t="str">
        <x:v>Économie budgétaire Copilote Sinistres (EUR)</x:v>
      </x:c>
      <x:c r="B13" s="20" t="n">
        <x:f>'Valeur'!E6</x:f>
        <x:v>0</x:v>
      </x:c>
    </x:row>
    <x:row r="14" ht="32" customHeight="1">
      <x:c r="A14" s="17" t="str">
        <x:v>Dossiers avec date manquante</x:v>
      </x:c>
      <x:c r="B14" s="21" t="n">
        <x:f>'Mesures'!E12/'Mesures'!E6</x:f>
        <x:v>0.15</x:v>
      </x:c>
    </x:row>
    <x:row r="15" ht="32" customHeight="1">
      <x:c r="A15" s="17" t="str">
        <x:v>Réponses sans citation valide</x:v>
      </x:c>
      <x:c r="B15" s="21" t="n">
        <x:f>'Mesures'!E11/'Mesures'!E10</x:f>
        <x:v>0.09</x:v>
      </x:c>
    </x:row>
    <x:row r="16" ht="32" customHeight="1">
      <x:c r="A16" s="17" t="str">
        <x:v>Paiements test sans validation</x:v>
      </x:c>
      <x:c r="B16" s="24" t="n">
        <x:f>COUNTIFS('Événements'!G6:G293,"Paiement exécuté sans validation")</x:f>
        <x:v>12</x:v>
      </x:c>
    </x:row>
  </x:sheetData>
  <x:pageMargins left="0.7" right="0.7" top="0.75" bottom="0.75" header="0.3" footer="0.3"/>
</x:worksheet>
</file>